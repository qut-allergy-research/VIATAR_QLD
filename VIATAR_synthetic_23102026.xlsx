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Research\Projects\STZAPN6445\Sajjad\papers\Aeroallergen Prevalnce SNP\Submission to Allergy\version ready to Submit_02102026\synthetic data\"/>
    </mc:Choice>
  </mc:AlternateContent>
  <xr:revisionPtr revIDLastSave="0" documentId="8_{42924004-8A4F-4588-95EA-B8097989F4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ynthetic Data" sheetId="1" r:id="rId1"/>
    <sheet name="QC Summary" sheetId="2" r:id="rId2"/>
    <sheet name="Dictionary &amp;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9" i="2"/>
  <c r="B8" i="2"/>
  <c r="B7" i="2"/>
  <c r="B5" i="2"/>
</calcChain>
</file>

<file path=xl/sharedStrings.xml><?xml version="1.0" encoding="utf-8"?>
<sst xmlns="http://schemas.openxmlformats.org/spreadsheetml/2006/main" count="1347" uniqueCount="236">
  <si>
    <t>REDCap Record ID</t>
  </si>
  <si>
    <t>Patients Secure Hash Algorithm (SHA)</t>
  </si>
  <si>
    <t>Viatar (Patient) ID</t>
  </si>
  <si>
    <t>Year of birth</t>
  </si>
  <si>
    <t>Age in Years</t>
  </si>
  <si>
    <t>Sex at birth</t>
  </si>
  <si>
    <t>Gender</t>
  </si>
  <si>
    <t>Post Code</t>
  </si>
  <si>
    <t>Referring practitioner</t>
  </si>
  <si>
    <t>Site ID code for the site providing data</t>
  </si>
  <si>
    <t>site_test code for the site doing test</t>
  </si>
  <si>
    <t>Date of Collection</t>
  </si>
  <si>
    <t>Test Date</t>
  </si>
  <si>
    <t>Test type</t>
  </si>
  <si>
    <t>Test Method</t>
  </si>
  <si>
    <t>test_code, code of allergen (TF)</t>
  </si>
  <si>
    <t>Test Name (Allergen)</t>
  </si>
  <si>
    <t>test Value, SPT or spIgE values of each allergen or mmD for SPT</t>
  </si>
  <si>
    <t>Sequence in which tests are conducted</t>
  </si>
  <si>
    <t>Total IgE value (kU/L)</t>
  </si>
  <si>
    <t>Complete?</t>
  </si>
  <si>
    <t>Male</t>
  </si>
  <si>
    <t>1-GP</t>
  </si>
  <si>
    <t>SNP</t>
  </si>
  <si>
    <t>sIgE</t>
  </si>
  <si>
    <t>Serum specific IgE_ImmunoCAP</t>
  </si>
  <si>
    <t>t3</t>
  </si>
  <si>
    <t>Birch</t>
  </si>
  <si>
    <t>yes</t>
  </si>
  <si>
    <t>4-Respiratory Physician</t>
  </si>
  <si>
    <t>i6</t>
  </si>
  <si>
    <t>Cockroach</t>
  </si>
  <si>
    <t>Female</t>
  </si>
  <si>
    <t>2-Immunology Clinician/ Allergy Specialist</t>
  </si>
  <si>
    <t>d2</t>
  </si>
  <si>
    <t>Dermatophagoides farinae</t>
  </si>
  <si>
    <t>g5</t>
  </si>
  <si>
    <t>Rye grass</t>
  </si>
  <si>
    <t>t19</t>
  </si>
  <si>
    <t>Acacia</t>
  </si>
  <si>
    <t>d1</t>
  </si>
  <si>
    <t>Dermatophagoides pteronyssinus</t>
  </si>
  <si>
    <t>g2</t>
  </si>
  <si>
    <t>Bermuda grass</t>
  </si>
  <si>
    <t>m6</t>
  </si>
  <si>
    <t>Alternaria alternata</t>
  </si>
  <si>
    <t>g10</t>
  </si>
  <si>
    <t>Johnson grass</t>
  </si>
  <si>
    <t>e5</t>
  </si>
  <si>
    <t>Dog dander</t>
  </si>
  <si>
    <t>e1</t>
  </si>
  <si>
    <t>Cat epithelium &amp; dander</t>
  </si>
  <si>
    <t>m3</t>
  </si>
  <si>
    <t>Aspergillus fumigatus</t>
  </si>
  <si>
    <t>5- pediatrician</t>
  </si>
  <si>
    <t>g17</t>
  </si>
  <si>
    <t>Bahia grass</t>
  </si>
  <si>
    <t>6-gastroenterologist</t>
  </si>
  <si>
    <t>3-ENT</t>
  </si>
  <si>
    <t>8-Other</t>
  </si>
  <si>
    <t>7-Dermatologist</t>
  </si>
  <si>
    <t>Synthetic sample | QA summary</t>
  </si>
  <si>
    <t>DESCRIPTIVE CHECKS ONLY — all values were fabricated; never present them as observed study results.</t>
  </si>
  <si>
    <t>Statistic</t>
  </si>
  <si>
    <t>Value</t>
  </si>
  <si>
    <t>Test-event records</t>
  </si>
  <si>
    <t>Distinct synthetic patients</t>
  </si>
  <si>
    <t>Female, n</t>
  </si>
  <si>
    <t>Male, n</t>
  </si>
  <si>
    <t>Age median, years</t>
  </si>
  <si>
    <t>Age Q1 (25th pct), years</t>
  </si>
  <si>
    <t>Age Q3 (75th pct), years</t>
  </si>
  <si>
    <t>Age minimum, years</t>
  </si>
  <si>
    <t>Total IgE median (kU/L)</t>
  </si>
  <si>
    <t>Total IgE minimum (kU/L)</t>
  </si>
  <si>
    <t>Total IgE maximum (kU/L)</t>
  </si>
  <si>
    <t>GP referrals, n</t>
  </si>
  <si>
    <t>Preferred postcodes, %</t>
  </si>
  <si>
    <t>Allergen group</t>
  </si>
  <si>
    <t>Test events</t>
  </si>
  <si>
    <t>Positive, n</t>
  </si>
  <si>
    <t>Positive, %</t>
  </si>
  <si>
    <t>Mean sIgE (all tests)</t>
  </si>
  <si>
    <t>Mean sIgE (positives)</t>
  </si>
  <si>
    <t>Target all-test mean</t>
  </si>
  <si>
    <t>House dust mite</t>
  </si>
  <si>
    <t>Grass pollen</t>
  </si>
  <si>
    <t>Animal dander</t>
  </si>
  <si>
    <t>Mould</t>
  </si>
  <si>
    <t>Tree pollen</t>
  </si>
  <si>
    <t>Threshold applied to THIS DEMO: &lt;= 0.35 kU/L = negative; &gt; 0.35 kU/L = positive.</t>
  </si>
  <si>
    <t>Means shown above refer to ALL test events; positivity percentages follow per-allergen-group event denominators.</t>
  </si>
  <si>
    <t>Ages reported per test event; repeated synthetic patient identifiers demonstrate linking multiple test records.</t>
  </si>
  <si>
    <t>Data dictionary &amp; validation notes</t>
  </si>
  <si>
    <t>Field/Note</t>
  </si>
  <si>
    <t>Definition and guidance</t>
  </si>
  <si>
    <t>Purpose</t>
  </si>
  <si>
    <t>100 entirely invented allergen test events, intended solely as an example data layout for analysis code / journal Data Availability Statement.</t>
  </si>
  <si>
    <t>Synthetic status</t>
  </si>
  <si>
    <t>No original study records, identifiers, patient hashes, patient metadata, or rows have been copied, shuffled or released.</t>
  </si>
  <si>
    <t>Observation unit</t>
  </si>
  <si>
    <t>Each row = one allergen-specific test event; several fictitious patients have two test events.</t>
  </si>
  <si>
    <t>SHA hashes</t>
  </si>
  <si>
    <t>Each is a 64-character hexadecimal SHA-256 digest of an artificial SYNV patient label with a fake-only namespace. Same fictional patient = same hash.</t>
  </si>
  <si>
    <t>Viatar ID</t>
  </si>
  <si>
    <t>SYNV-prefixed made-up IDs. These values are not real patient IDs.</t>
  </si>
  <si>
    <t>REDCap ID</t>
  </si>
  <si>
    <t>Consecutive 1–100 event record IDs. Not original REDCap IDs.</t>
  </si>
  <si>
    <t>Age</t>
  </si>
  <si>
    <t>Age in completed years at collection date; Year of birth approximated as collection year minus age (no synthetic exact DOB).</t>
  </si>
  <si>
    <t>Dates</t>
  </si>
  <si>
    <t>Collection and test dates between 2019–2025 inclusive. Test date is on/after collection date.</t>
  </si>
  <si>
    <t>Sex and Gender</t>
  </si>
  <si>
    <t>Both represented as Female/Male and matching for every invented event; 60/40 event-level ratio.</t>
  </si>
  <si>
    <t>All 4000–4999, most sampled from user-provided Queensland postcode list.</t>
  </si>
  <si>
    <t>Test value</t>
  </si>
  <si>
    <t>Non-Gaussian, strongly right-skewed synthetic sIgE values in kU/L; all 0.005–150.</t>
  </si>
  <si>
    <t>Positivity rule</t>
  </si>
  <si>
    <t>Following this sample request: &lt;=0.35 kU/L negative; &gt;0.35 kU/L positive. Confirm actual manuscript threshold separately.</t>
  </si>
  <si>
    <t>Total IgE</t>
  </si>
  <si>
    <t>Synthetic strongly right-skewed values, approximately median 86 kU/L, minimum 1, maximum 5500.</t>
  </si>
  <si>
    <t>All-test means</t>
  </si>
  <si>
    <t>Generated toward group means of 6.7 HDM, 2.5 grass, 0.5 animal; group positivity calibrated independently.</t>
  </si>
  <si>
    <t>site IDs</t>
  </si>
  <si>
    <t>Site ID and site_test are SNP for every record.</t>
  </si>
  <si>
    <t>Cockroach code</t>
  </si>
  <si>
    <t>i6 (German cockroach) is the established TF/ImmunoCAP insect code and was omitted from the user supplied family lookup list.</t>
  </si>
  <si>
    <t>Data availability</t>
  </si>
  <si>
    <t>Example only: do not claim these simulated summaries are original study results or that this dataset enables reproduction of study estimates.</t>
  </si>
  <si>
    <t>Allergen test name</t>
  </si>
  <si>
    <t>ImmunoCAP / TF code</t>
  </si>
  <si>
    <t>Code mapping source</t>
  </si>
  <si>
    <t>https://www.tdlpathology.com/specialties/allergy/individual-allergen-tests/</t>
  </si>
  <si>
    <t>https://www.thermofisher.com/order/catalog/product/14514510</t>
  </si>
  <si>
    <t>https://www.4cyte.com.au/Assets/rast_testing.pdf</t>
  </si>
  <si>
    <t>A 64-Character Hash Code</t>
  </si>
  <si>
    <t>SNP-BNE-0000001</t>
  </si>
  <si>
    <t>SNP-BNE-0000002</t>
  </si>
  <si>
    <t>SNP-BNE-0000003</t>
  </si>
  <si>
    <t>SNP-BNE-0000004</t>
  </si>
  <si>
    <t>SNP-BNE-0000005</t>
  </si>
  <si>
    <t>SNP-BNE-0000006</t>
  </si>
  <si>
    <t>SNP-BNE-0000007</t>
  </si>
  <si>
    <t>SNP-BNE-0000008</t>
  </si>
  <si>
    <t>SNP-BNE-0000009</t>
  </si>
  <si>
    <t>SNP-BNE-0000010</t>
  </si>
  <si>
    <t>SNP-BNE-0000011</t>
  </si>
  <si>
    <t>SNP-BNE-0000012</t>
  </si>
  <si>
    <t>SNP-BNE-0000013</t>
  </si>
  <si>
    <t>SNP-BNE-0000014</t>
  </si>
  <si>
    <t>SNP-BNE-0000015</t>
  </si>
  <si>
    <t>SNP-BNE-0000016</t>
  </si>
  <si>
    <t>SNP-BNE-0000017</t>
  </si>
  <si>
    <t>SNP-BNE-0000018</t>
  </si>
  <si>
    <t>SNP-BNE-0000019</t>
  </si>
  <si>
    <t>SNP-BNE-0000020</t>
  </si>
  <si>
    <t>SNP-BNE-0000021</t>
  </si>
  <si>
    <t>SNP-BNE-0000022</t>
  </si>
  <si>
    <t>SNP-BNE-0000023</t>
  </si>
  <si>
    <t>SNP-BNE-0000024</t>
  </si>
  <si>
    <t>SNP-BNE-0000025</t>
  </si>
  <si>
    <t>SNP-BNE-0000026</t>
  </si>
  <si>
    <t>SNP-BNE-0000027</t>
  </si>
  <si>
    <t>SNP-BNE-0000028</t>
  </si>
  <si>
    <t>SNP-BNE-0000029</t>
  </si>
  <si>
    <t>SNP-BNE-0000030</t>
  </si>
  <si>
    <t>SNP-BNE-0000031</t>
  </si>
  <si>
    <t>SNP-BNE-0000032</t>
  </si>
  <si>
    <t>SNP-BNE-0000033</t>
  </si>
  <si>
    <t>SNP-BNE-0000034</t>
  </si>
  <si>
    <t>SNP-BNE-0000035</t>
  </si>
  <si>
    <t>SNP-BNE-0000036</t>
  </si>
  <si>
    <t>SNP-BNE-0000037</t>
  </si>
  <si>
    <t>SNP-BNE-0000038</t>
  </si>
  <si>
    <t>SNP-BNE-0000039</t>
  </si>
  <si>
    <t>SNP-BNE-0000040</t>
  </si>
  <si>
    <t>SNP-BNE-0000041</t>
  </si>
  <si>
    <t>SNP-BNE-0000042</t>
  </si>
  <si>
    <t>SNP-BNE-0000043</t>
  </si>
  <si>
    <t>SNP-BNE-0000044</t>
  </si>
  <si>
    <t>SNP-BNE-0000045</t>
  </si>
  <si>
    <t>SNP-BNE-0000046</t>
  </si>
  <si>
    <t>SNP-BNE-0000047</t>
  </si>
  <si>
    <t>SNP-BNE-0000048</t>
  </si>
  <si>
    <t>SNP-BNE-0000049</t>
  </si>
  <si>
    <t>SNP-BNE-0000050</t>
  </si>
  <si>
    <t>SNP-BNE-0000051</t>
  </si>
  <si>
    <t>SNP-BNE-0000052</t>
  </si>
  <si>
    <t>SNP-BNE-0000053</t>
  </si>
  <si>
    <t>SNP-BNE-0000054</t>
  </si>
  <si>
    <t>SNP-BNE-0000055</t>
  </si>
  <si>
    <t>SNP-BNE-0000056</t>
  </si>
  <si>
    <t>SNP-BNE-0000057</t>
  </si>
  <si>
    <t>SNP-BNE-0000058</t>
  </si>
  <si>
    <t>SNP-BNE-0000059</t>
  </si>
  <si>
    <t>SNP-BNE-0000060</t>
  </si>
  <si>
    <t>SNP-BNE-0000061</t>
  </si>
  <si>
    <t>SNP-BNE-0000062</t>
  </si>
  <si>
    <t>SNP-BNE-0000063</t>
  </si>
  <si>
    <t>SNP-BNE-0000064</t>
  </si>
  <si>
    <t>SNP-BNE-0000065</t>
  </si>
  <si>
    <t>SNP-BNE-0000066</t>
  </si>
  <si>
    <t>SNP-BNE-0000067</t>
  </si>
  <si>
    <t>SNP-BNE-0000068</t>
  </si>
  <si>
    <t>SNP-BNE-0000069</t>
  </si>
  <si>
    <t>SNP-BNE-0000070</t>
  </si>
  <si>
    <t>SNP-BNE-0000071</t>
  </si>
  <si>
    <t>SNP-BNE-0000072</t>
  </si>
  <si>
    <t>SNP-BNE-0000073</t>
  </si>
  <si>
    <t>SNP-BNE-0000074</t>
  </si>
  <si>
    <t>SNP-BNE-0000075</t>
  </si>
  <si>
    <t>SNP-BNE-0000076</t>
  </si>
  <si>
    <t>SNP-BNE-0000077</t>
  </si>
  <si>
    <t>SNP-BNE-0000078</t>
  </si>
  <si>
    <t>SNP-BNE-0000079</t>
  </si>
  <si>
    <t>SNP-BNE-0000080</t>
  </si>
  <si>
    <t>SNP-BNE-0000081</t>
  </si>
  <si>
    <t>SNP-BNE-0000082</t>
  </si>
  <si>
    <t>SNP-BNE-0000083</t>
  </si>
  <si>
    <t>SNP-BNE-0000084</t>
  </si>
  <si>
    <t>SNP-BNE-0000085</t>
  </si>
  <si>
    <t>SNP-BNE-0000086</t>
  </si>
  <si>
    <t>SNP-BNE-0000087</t>
  </si>
  <si>
    <t>SNP-BNE-0000088</t>
  </si>
  <si>
    <t>SNP-BNE-0000089</t>
  </si>
  <si>
    <t>SNP-BNE-0000090</t>
  </si>
  <si>
    <t>SNP-BNE-0000091</t>
  </si>
  <si>
    <t>SNP-BNE-0000092</t>
  </si>
  <si>
    <t>SNP-BNE-0000093</t>
  </si>
  <si>
    <t>SNP-BNE-0000094</t>
  </si>
  <si>
    <t>SNP-BNE-0000095</t>
  </si>
  <si>
    <t>SNP-BNE-0000096</t>
  </si>
  <si>
    <t>SNP-BNE-0000097</t>
  </si>
  <si>
    <t>SNP-BNE-0000098</t>
  </si>
  <si>
    <t>SNP-BNE-0000099</t>
  </si>
  <si>
    <t>SNP-BNE-0000100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</si>
</sst>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A32632"/>
      <name val="Carlito"/>
    </font>
    <font>
      <b/>
      <sz val="11"/>
      <color rgb="FFFFFFFF"/>
      <name val="Carlito"/>
    </font>
    <font>
      <sz val="11"/>
      <color rgb="FF365B67"/>
      <name val="Carlito"/>
    </font>
    <font>
      <sz val="11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43D51"/>
      </patternFill>
    </fill>
    <fill>
      <patternFill patternType="solid">
        <fgColor rgb="FF2375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wrapText="1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ATAR_Synthetic_Events" displayName="VIATAR_Synthetic_Events" ref="A1:U101" totalsRowShown="0" headerRowDxfId="4" dataDxfId="3">
  <tableColumns count="21">
    <tableColumn id="1" xr3:uid="{00000000-0010-0000-0000-000001000000}" name="REDCap Record ID" dataDxfId="22"/>
    <tableColumn id="2" xr3:uid="{00000000-0010-0000-0000-000002000000}" name="Patients Secure Hash Algorithm (SHA)" dataDxfId="2"/>
    <tableColumn id="3" xr3:uid="{00000000-0010-0000-0000-000003000000}" name="Viatar (Patient) ID" dataDxfId="0"/>
    <tableColumn id="4" xr3:uid="{00000000-0010-0000-0000-000004000000}" name="Year of birth" dataDxfId="1"/>
    <tableColumn id="5" xr3:uid="{00000000-0010-0000-0000-000005000000}" name="Age in Years" dataDxfId="21"/>
    <tableColumn id="6" xr3:uid="{00000000-0010-0000-0000-000006000000}" name="Sex at birth" dataDxfId="20"/>
    <tableColumn id="7" xr3:uid="{00000000-0010-0000-0000-000007000000}" name="Gender" dataDxfId="19"/>
    <tableColumn id="8" xr3:uid="{00000000-0010-0000-0000-000008000000}" name="Post Code" dataDxfId="18"/>
    <tableColumn id="9" xr3:uid="{00000000-0010-0000-0000-000009000000}" name="Referring practitioner" dataDxfId="17"/>
    <tableColumn id="10" xr3:uid="{00000000-0010-0000-0000-00000A000000}" name="Site ID code for the site providing data" dataDxfId="16"/>
    <tableColumn id="11" xr3:uid="{00000000-0010-0000-0000-00000B000000}" name="site_test code for the site doing test" dataDxfId="15"/>
    <tableColumn id="12" xr3:uid="{00000000-0010-0000-0000-00000C000000}" name="Date of Collection" dataDxfId="14"/>
    <tableColumn id="13" xr3:uid="{00000000-0010-0000-0000-00000D000000}" name="Test Date" dataDxfId="13"/>
    <tableColumn id="14" xr3:uid="{00000000-0010-0000-0000-00000E000000}" name="Test type" dataDxfId="12"/>
    <tableColumn id="15" xr3:uid="{00000000-0010-0000-0000-00000F000000}" name="Test Method" dataDxfId="11"/>
    <tableColumn id="16" xr3:uid="{00000000-0010-0000-0000-000010000000}" name="test_code, code of allergen (TF)" dataDxfId="10"/>
    <tableColumn id="17" xr3:uid="{00000000-0010-0000-0000-000011000000}" name="Test Name (Allergen)" dataDxfId="9"/>
    <tableColumn id="18" xr3:uid="{00000000-0010-0000-0000-000012000000}" name="test Value, SPT or spIgE values of each allergen or mmD for SPT" dataDxfId="8"/>
    <tableColumn id="19" xr3:uid="{00000000-0010-0000-0000-000013000000}" name="Sequence in which tests are conducted" dataDxfId="7"/>
    <tableColumn id="20" xr3:uid="{00000000-0010-0000-0000-000014000000}" name="Total IgE value (kU/L)" dataDxfId="6"/>
    <tableColumn id="21" xr3:uid="{00000000-0010-0000-0000-000015000000}" name="Complete?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activeCell="U3" sqref="U3"/>
    </sheetView>
  </sheetViews>
  <sheetFormatPr defaultRowHeight="14"/>
  <cols>
    <col min="1" max="1" width="16" customWidth="1"/>
    <col min="2" max="2" width="23" customWidth="1"/>
    <col min="3" max="3" width="20" style="9" customWidth="1"/>
    <col min="4" max="4" width="15" customWidth="1"/>
    <col min="5" max="6" width="14" customWidth="1"/>
    <col min="7" max="8" width="13" customWidth="1"/>
    <col min="9" max="9" width="35" customWidth="1"/>
    <col min="10" max="10" width="21" customWidth="1"/>
    <col min="11" max="11" width="22" customWidth="1"/>
    <col min="12" max="12" width="19" customWidth="1"/>
    <col min="13" max="13" width="18" customWidth="1"/>
    <col min="14" max="14" width="13" customWidth="1"/>
    <col min="15" max="15" width="34" customWidth="1"/>
    <col min="16" max="16" width="20" customWidth="1"/>
    <col min="17" max="17" width="35" customWidth="1"/>
    <col min="18" max="18" width="30" customWidth="1"/>
    <col min="19" max="19" width="19" customWidth="1"/>
    <col min="20" max="20" width="21" customWidth="1"/>
    <col min="21" max="21" width="12" customWidth="1"/>
  </cols>
  <sheetData>
    <row r="1" spans="1:21" ht="6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ht="21" customHeight="1">
      <c r="A2" s="11">
        <v>1</v>
      </c>
      <c r="B2" s="11" t="s">
        <v>135</v>
      </c>
      <c r="C2" s="9" t="s">
        <v>136</v>
      </c>
      <c r="D2" s="12">
        <v>1951</v>
      </c>
      <c r="E2" s="12">
        <v>68</v>
      </c>
      <c r="F2" s="11" t="s">
        <v>21</v>
      </c>
      <c r="G2" s="11" t="s">
        <v>21</v>
      </c>
      <c r="H2" s="12">
        <v>4122</v>
      </c>
      <c r="I2" s="11" t="s">
        <v>22</v>
      </c>
      <c r="J2" s="11" t="s">
        <v>23</v>
      </c>
      <c r="K2" s="11" t="s">
        <v>23</v>
      </c>
      <c r="L2" s="13">
        <v>43506</v>
      </c>
      <c r="M2" s="13">
        <v>43508</v>
      </c>
      <c r="N2" s="11" t="s">
        <v>24</v>
      </c>
      <c r="O2" s="11" t="s">
        <v>25</v>
      </c>
      <c r="P2" s="11" t="s">
        <v>26</v>
      </c>
      <c r="Q2" s="11" t="s">
        <v>27</v>
      </c>
      <c r="R2" s="14">
        <v>0.35</v>
      </c>
      <c r="S2" s="11">
        <v>1</v>
      </c>
      <c r="T2" s="15">
        <v>116.6</v>
      </c>
      <c r="U2" s="11" t="s">
        <v>28</v>
      </c>
    </row>
    <row r="3" spans="1:21" ht="21" customHeight="1">
      <c r="A3" s="11">
        <v>2</v>
      </c>
      <c r="B3" s="11" t="s">
        <v>135</v>
      </c>
      <c r="C3" s="9" t="s">
        <v>137</v>
      </c>
      <c r="D3" s="12">
        <v>1993</v>
      </c>
      <c r="E3" s="12">
        <v>26</v>
      </c>
      <c r="F3" s="11" t="s">
        <v>21</v>
      </c>
      <c r="G3" s="11" t="s">
        <v>21</v>
      </c>
      <c r="H3" s="12">
        <v>4551</v>
      </c>
      <c r="I3" s="11" t="s">
        <v>29</v>
      </c>
      <c r="J3" s="11" t="s">
        <v>23</v>
      </c>
      <c r="K3" s="11" t="s">
        <v>23</v>
      </c>
      <c r="L3" s="13">
        <v>43605</v>
      </c>
      <c r="M3" s="13">
        <v>43608</v>
      </c>
      <c r="N3" s="11" t="s">
        <v>24</v>
      </c>
      <c r="O3" s="11" t="s">
        <v>25</v>
      </c>
      <c r="P3" s="11" t="s">
        <v>30</v>
      </c>
      <c r="Q3" s="11" t="s">
        <v>31</v>
      </c>
      <c r="R3" s="14">
        <v>7.5010000000000003</v>
      </c>
      <c r="S3" s="11">
        <v>1</v>
      </c>
      <c r="T3" s="15">
        <v>112.4</v>
      </c>
      <c r="U3" s="11" t="s">
        <v>28</v>
      </c>
    </row>
    <row r="4" spans="1:21" ht="21" customHeight="1">
      <c r="A4" s="11">
        <v>3</v>
      </c>
      <c r="B4" s="11" t="s">
        <v>135</v>
      </c>
      <c r="C4" s="9" t="s">
        <v>138</v>
      </c>
      <c r="D4" s="12">
        <v>1963</v>
      </c>
      <c r="E4" s="12">
        <v>56</v>
      </c>
      <c r="F4" s="11" t="s">
        <v>21</v>
      </c>
      <c r="G4" s="11" t="s">
        <v>21</v>
      </c>
      <c r="H4" s="12">
        <v>4017</v>
      </c>
      <c r="I4" s="11" t="s">
        <v>22</v>
      </c>
      <c r="J4" s="11" t="s">
        <v>23</v>
      </c>
      <c r="K4" s="11" t="s">
        <v>23</v>
      </c>
      <c r="L4" s="13">
        <v>43614</v>
      </c>
      <c r="M4" s="13">
        <v>43615</v>
      </c>
      <c r="N4" s="11" t="s">
        <v>24</v>
      </c>
      <c r="O4" s="11" t="s">
        <v>25</v>
      </c>
      <c r="P4" s="11" t="s">
        <v>30</v>
      </c>
      <c r="Q4" s="11" t="s">
        <v>31</v>
      </c>
      <c r="R4" s="14">
        <v>5.3999999999999999E-2</v>
      </c>
      <c r="S4" s="11">
        <v>1</v>
      </c>
      <c r="T4" s="15">
        <v>85.7</v>
      </c>
      <c r="U4" s="11" t="s">
        <v>28</v>
      </c>
    </row>
    <row r="5" spans="1:21" ht="21" customHeight="1">
      <c r="A5" s="11">
        <v>4</v>
      </c>
      <c r="B5" s="11" t="s">
        <v>135</v>
      </c>
      <c r="C5" s="9" t="s">
        <v>139</v>
      </c>
      <c r="D5" s="12">
        <v>1971</v>
      </c>
      <c r="E5" s="12">
        <v>48</v>
      </c>
      <c r="F5" s="11" t="s">
        <v>32</v>
      </c>
      <c r="G5" s="11" t="s">
        <v>32</v>
      </c>
      <c r="H5" s="12">
        <v>4030</v>
      </c>
      <c r="I5" s="11" t="s">
        <v>33</v>
      </c>
      <c r="J5" s="11" t="s">
        <v>23</v>
      </c>
      <c r="K5" s="11" t="s">
        <v>23</v>
      </c>
      <c r="L5" s="13">
        <v>43669</v>
      </c>
      <c r="M5" s="13">
        <v>43671</v>
      </c>
      <c r="N5" s="11" t="s">
        <v>24</v>
      </c>
      <c r="O5" s="11" t="s">
        <v>25</v>
      </c>
      <c r="P5" s="11" t="s">
        <v>34</v>
      </c>
      <c r="Q5" s="11" t="s">
        <v>35</v>
      </c>
      <c r="R5" s="14">
        <v>13.919</v>
      </c>
      <c r="S5" s="11">
        <v>1</v>
      </c>
      <c r="T5" s="15">
        <v>39.4</v>
      </c>
      <c r="U5" s="11" t="s">
        <v>28</v>
      </c>
    </row>
    <row r="6" spans="1:21" ht="21" customHeight="1">
      <c r="A6" s="11">
        <v>5</v>
      </c>
      <c r="B6" s="11" t="s">
        <v>135</v>
      </c>
      <c r="C6" s="9" t="s">
        <v>140</v>
      </c>
      <c r="D6" s="12">
        <v>1963</v>
      </c>
      <c r="E6" s="12">
        <v>56</v>
      </c>
      <c r="F6" s="11" t="s">
        <v>32</v>
      </c>
      <c r="G6" s="11" t="s">
        <v>32</v>
      </c>
      <c r="H6" s="12">
        <v>4064</v>
      </c>
      <c r="I6" s="11" t="s">
        <v>33</v>
      </c>
      <c r="J6" s="11" t="s">
        <v>23</v>
      </c>
      <c r="K6" s="11" t="s">
        <v>23</v>
      </c>
      <c r="L6" s="13">
        <v>43696</v>
      </c>
      <c r="M6" s="13">
        <v>43697</v>
      </c>
      <c r="N6" s="11" t="s">
        <v>24</v>
      </c>
      <c r="O6" s="11" t="s">
        <v>25</v>
      </c>
      <c r="P6" s="11" t="s">
        <v>36</v>
      </c>
      <c r="Q6" s="11" t="s">
        <v>37</v>
      </c>
      <c r="R6" s="14">
        <v>2.1999999999999999E-2</v>
      </c>
      <c r="S6" s="11">
        <v>1</v>
      </c>
      <c r="T6" s="15">
        <v>50.3</v>
      </c>
      <c r="U6" s="11" t="s">
        <v>28</v>
      </c>
    </row>
    <row r="7" spans="1:21" ht="21" customHeight="1">
      <c r="A7" s="11">
        <v>6</v>
      </c>
      <c r="B7" s="11" t="s">
        <v>135</v>
      </c>
      <c r="C7" s="9" t="s">
        <v>141</v>
      </c>
      <c r="D7" s="12">
        <v>1994</v>
      </c>
      <c r="E7" s="12">
        <v>25</v>
      </c>
      <c r="F7" s="11" t="s">
        <v>32</v>
      </c>
      <c r="G7" s="11" t="s">
        <v>32</v>
      </c>
      <c r="H7" s="12">
        <v>4005</v>
      </c>
      <c r="I7" s="11" t="s">
        <v>22</v>
      </c>
      <c r="J7" s="11" t="s">
        <v>23</v>
      </c>
      <c r="K7" s="11" t="s">
        <v>23</v>
      </c>
      <c r="L7" s="13">
        <v>43712</v>
      </c>
      <c r="M7" s="13">
        <v>43713</v>
      </c>
      <c r="N7" s="11" t="s">
        <v>24</v>
      </c>
      <c r="O7" s="11" t="s">
        <v>25</v>
      </c>
      <c r="P7" s="11" t="s">
        <v>38</v>
      </c>
      <c r="Q7" s="11" t="s">
        <v>39</v>
      </c>
      <c r="R7" s="14">
        <v>2.4E-2</v>
      </c>
      <c r="S7" s="11">
        <v>1</v>
      </c>
      <c r="T7" s="15">
        <v>120.1</v>
      </c>
      <c r="U7" s="11" t="s">
        <v>28</v>
      </c>
    </row>
    <row r="8" spans="1:21" ht="21" customHeight="1">
      <c r="A8" s="11">
        <v>7</v>
      </c>
      <c r="B8" s="11" t="s">
        <v>135</v>
      </c>
      <c r="C8" s="9" t="s">
        <v>142</v>
      </c>
      <c r="D8" s="12">
        <v>1973</v>
      </c>
      <c r="E8" s="12">
        <v>46</v>
      </c>
      <c r="F8" s="11" t="s">
        <v>21</v>
      </c>
      <c r="G8" s="11" t="s">
        <v>21</v>
      </c>
      <c r="H8" s="12">
        <v>4503</v>
      </c>
      <c r="I8" s="11" t="s">
        <v>22</v>
      </c>
      <c r="J8" s="11" t="s">
        <v>23</v>
      </c>
      <c r="K8" s="11" t="s">
        <v>23</v>
      </c>
      <c r="L8" s="13">
        <v>43755</v>
      </c>
      <c r="M8" s="13">
        <v>43755</v>
      </c>
      <c r="N8" s="11" t="s">
        <v>24</v>
      </c>
      <c r="O8" s="11" t="s">
        <v>25</v>
      </c>
      <c r="P8" s="11" t="s">
        <v>40</v>
      </c>
      <c r="Q8" s="11" t="s">
        <v>41</v>
      </c>
      <c r="R8" s="14">
        <v>6.9000000000000006E-2</v>
      </c>
      <c r="S8" s="11">
        <v>1</v>
      </c>
      <c r="T8" s="15">
        <v>33.799999999999997</v>
      </c>
      <c r="U8" s="11" t="s">
        <v>28</v>
      </c>
    </row>
    <row r="9" spans="1:21" ht="21" customHeight="1">
      <c r="A9" s="11">
        <v>8</v>
      </c>
      <c r="B9" s="11" t="s">
        <v>135</v>
      </c>
      <c r="C9" s="9" t="s">
        <v>143</v>
      </c>
      <c r="D9" s="12">
        <v>1997</v>
      </c>
      <c r="E9" s="12">
        <v>22</v>
      </c>
      <c r="F9" s="11" t="s">
        <v>32</v>
      </c>
      <c r="G9" s="11" t="s">
        <v>32</v>
      </c>
      <c r="H9" s="12">
        <v>4164</v>
      </c>
      <c r="I9" s="11" t="s">
        <v>22</v>
      </c>
      <c r="J9" s="11" t="s">
        <v>23</v>
      </c>
      <c r="K9" s="11" t="s">
        <v>23</v>
      </c>
      <c r="L9" s="13">
        <v>43789</v>
      </c>
      <c r="M9" s="13">
        <v>43796</v>
      </c>
      <c r="N9" s="11" t="s">
        <v>24</v>
      </c>
      <c r="O9" s="11" t="s">
        <v>25</v>
      </c>
      <c r="P9" s="11" t="s">
        <v>42</v>
      </c>
      <c r="Q9" s="11" t="s">
        <v>43</v>
      </c>
      <c r="R9" s="14">
        <v>33.405999999999999</v>
      </c>
      <c r="S9" s="11">
        <v>1</v>
      </c>
      <c r="T9" s="15">
        <v>142.30000000000001</v>
      </c>
      <c r="U9" s="11" t="s">
        <v>28</v>
      </c>
    </row>
    <row r="10" spans="1:21" ht="21" customHeight="1">
      <c r="A10" s="11">
        <v>9</v>
      </c>
      <c r="B10" s="11" t="s">
        <v>135</v>
      </c>
      <c r="C10" s="9" t="s">
        <v>144</v>
      </c>
      <c r="D10" s="12">
        <v>1997</v>
      </c>
      <c r="E10" s="12">
        <v>22</v>
      </c>
      <c r="F10" s="11" t="s">
        <v>32</v>
      </c>
      <c r="G10" s="11" t="s">
        <v>32</v>
      </c>
      <c r="H10" s="12">
        <v>4164</v>
      </c>
      <c r="I10" s="11" t="s">
        <v>22</v>
      </c>
      <c r="J10" s="11" t="s">
        <v>23</v>
      </c>
      <c r="K10" s="11" t="s">
        <v>23</v>
      </c>
      <c r="L10" s="13">
        <v>43789</v>
      </c>
      <c r="M10" s="13">
        <v>43796</v>
      </c>
      <c r="N10" s="11" t="s">
        <v>24</v>
      </c>
      <c r="O10" s="11" t="s">
        <v>25</v>
      </c>
      <c r="P10" s="11" t="s">
        <v>44</v>
      </c>
      <c r="Q10" s="11" t="s">
        <v>45</v>
      </c>
      <c r="R10" s="14">
        <v>0.28000000000000003</v>
      </c>
      <c r="S10" s="11">
        <v>1</v>
      </c>
      <c r="T10" s="15">
        <v>142.30000000000001</v>
      </c>
      <c r="U10" s="11" t="s">
        <v>28</v>
      </c>
    </row>
    <row r="11" spans="1:21" ht="21" customHeight="1">
      <c r="A11" s="11">
        <v>10</v>
      </c>
      <c r="B11" s="11" t="s">
        <v>135</v>
      </c>
      <c r="C11" s="9" t="s">
        <v>145</v>
      </c>
      <c r="D11" s="12">
        <v>1991</v>
      </c>
      <c r="E11" s="12">
        <v>29</v>
      </c>
      <c r="F11" s="11" t="s">
        <v>21</v>
      </c>
      <c r="G11" s="11" t="s">
        <v>21</v>
      </c>
      <c r="H11" s="12">
        <v>4165</v>
      </c>
      <c r="I11" s="11" t="s">
        <v>22</v>
      </c>
      <c r="J11" s="11" t="s">
        <v>23</v>
      </c>
      <c r="K11" s="11" t="s">
        <v>23</v>
      </c>
      <c r="L11" s="13">
        <v>43862</v>
      </c>
      <c r="M11" s="13">
        <v>43863</v>
      </c>
      <c r="N11" s="11" t="s">
        <v>24</v>
      </c>
      <c r="O11" s="11" t="s">
        <v>25</v>
      </c>
      <c r="P11" s="11" t="s">
        <v>42</v>
      </c>
      <c r="Q11" s="11" t="s">
        <v>43</v>
      </c>
      <c r="R11" s="14">
        <v>7.4999999999999997E-2</v>
      </c>
      <c r="S11" s="11">
        <v>1</v>
      </c>
      <c r="T11" s="15">
        <v>130.9</v>
      </c>
      <c r="U11" s="11" t="s">
        <v>28</v>
      </c>
    </row>
    <row r="12" spans="1:21" ht="21" customHeight="1">
      <c r="A12" s="11">
        <v>11</v>
      </c>
      <c r="B12" s="11" t="s">
        <v>135</v>
      </c>
      <c r="C12" s="9" t="s">
        <v>146</v>
      </c>
      <c r="D12" s="12">
        <v>1963</v>
      </c>
      <c r="E12" s="12">
        <v>57</v>
      </c>
      <c r="F12" s="11" t="s">
        <v>32</v>
      </c>
      <c r="G12" s="11" t="s">
        <v>32</v>
      </c>
      <c r="H12" s="12">
        <v>4112</v>
      </c>
      <c r="I12" s="11" t="s">
        <v>22</v>
      </c>
      <c r="J12" s="11" t="s">
        <v>23</v>
      </c>
      <c r="K12" s="11" t="s">
        <v>23</v>
      </c>
      <c r="L12" s="13">
        <v>43971</v>
      </c>
      <c r="M12" s="13">
        <v>43975</v>
      </c>
      <c r="N12" s="11" t="s">
        <v>24</v>
      </c>
      <c r="O12" s="11" t="s">
        <v>25</v>
      </c>
      <c r="P12" s="11" t="s">
        <v>40</v>
      </c>
      <c r="Q12" s="11" t="s">
        <v>41</v>
      </c>
      <c r="R12" s="14">
        <v>3.3000000000000002E-2</v>
      </c>
      <c r="S12" s="11">
        <v>1</v>
      </c>
      <c r="T12" s="15">
        <v>233.7</v>
      </c>
      <c r="U12" s="11" t="s">
        <v>28</v>
      </c>
    </row>
    <row r="13" spans="1:21" ht="21" customHeight="1">
      <c r="A13" s="11">
        <v>12</v>
      </c>
      <c r="B13" s="11" t="s">
        <v>135</v>
      </c>
      <c r="C13" s="9" t="s">
        <v>147</v>
      </c>
      <c r="D13" s="12">
        <v>1944</v>
      </c>
      <c r="E13" s="12">
        <v>76</v>
      </c>
      <c r="F13" s="11" t="s">
        <v>32</v>
      </c>
      <c r="G13" s="11" t="s">
        <v>32</v>
      </c>
      <c r="H13" s="12">
        <v>4165</v>
      </c>
      <c r="I13" s="11" t="s">
        <v>22</v>
      </c>
      <c r="J13" s="11" t="s">
        <v>23</v>
      </c>
      <c r="K13" s="11" t="s">
        <v>23</v>
      </c>
      <c r="L13" s="13">
        <v>43983</v>
      </c>
      <c r="M13" s="13">
        <v>43986</v>
      </c>
      <c r="N13" s="11" t="s">
        <v>24</v>
      </c>
      <c r="O13" s="11" t="s">
        <v>25</v>
      </c>
      <c r="P13" s="11" t="s">
        <v>46</v>
      </c>
      <c r="Q13" s="11" t="s">
        <v>47</v>
      </c>
      <c r="R13" s="14">
        <v>1.2769999999999999</v>
      </c>
      <c r="S13" s="11">
        <v>1</v>
      </c>
      <c r="T13" s="15">
        <v>1</v>
      </c>
      <c r="U13" s="11" t="s">
        <v>28</v>
      </c>
    </row>
    <row r="14" spans="1:21" ht="21" customHeight="1">
      <c r="A14" s="11">
        <v>13</v>
      </c>
      <c r="B14" s="11" t="s">
        <v>135</v>
      </c>
      <c r="C14" s="9" t="s">
        <v>148</v>
      </c>
      <c r="D14" s="12">
        <v>1980</v>
      </c>
      <c r="E14" s="12">
        <v>40</v>
      </c>
      <c r="F14" s="11" t="s">
        <v>32</v>
      </c>
      <c r="G14" s="11" t="s">
        <v>32</v>
      </c>
      <c r="H14" s="12">
        <v>4122</v>
      </c>
      <c r="I14" s="11" t="s">
        <v>22</v>
      </c>
      <c r="J14" s="11" t="s">
        <v>23</v>
      </c>
      <c r="K14" s="11" t="s">
        <v>23</v>
      </c>
      <c r="L14" s="13">
        <v>44021</v>
      </c>
      <c r="M14" s="13">
        <v>44026</v>
      </c>
      <c r="N14" s="11" t="s">
        <v>24</v>
      </c>
      <c r="O14" s="11" t="s">
        <v>25</v>
      </c>
      <c r="P14" s="11" t="s">
        <v>44</v>
      </c>
      <c r="Q14" s="11" t="s">
        <v>45</v>
      </c>
      <c r="R14" s="14">
        <v>1.0309999999999999</v>
      </c>
      <c r="S14" s="11">
        <v>1</v>
      </c>
      <c r="T14" s="15">
        <v>6.4</v>
      </c>
      <c r="U14" s="11" t="s">
        <v>28</v>
      </c>
    </row>
    <row r="15" spans="1:21" ht="21" customHeight="1">
      <c r="A15" s="11">
        <v>14</v>
      </c>
      <c r="B15" s="11" t="s">
        <v>135</v>
      </c>
      <c r="C15" s="9" t="s">
        <v>149</v>
      </c>
      <c r="D15" s="12">
        <v>1957</v>
      </c>
      <c r="E15" s="12">
        <v>63</v>
      </c>
      <c r="F15" s="11" t="s">
        <v>32</v>
      </c>
      <c r="G15" s="11" t="s">
        <v>32</v>
      </c>
      <c r="H15" s="12">
        <v>4165</v>
      </c>
      <c r="I15" s="11" t="s">
        <v>22</v>
      </c>
      <c r="J15" s="11" t="s">
        <v>23</v>
      </c>
      <c r="K15" s="11" t="s">
        <v>23</v>
      </c>
      <c r="L15" s="13">
        <v>44024</v>
      </c>
      <c r="M15" s="13">
        <v>44028</v>
      </c>
      <c r="N15" s="11" t="s">
        <v>24</v>
      </c>
      <c r="O15" s="11" t="s">
        <v>25</v>
      </c>
      <c r="P15" s="11" t="s">
        <v>40</v>
      </c>
      <c r="Q15" s="11" t="s">
        <v>41</v>
      </c>
      <c r="R15" s="14">
        <v>4.5549999999999997</v>
      </c>
      <c r="S15" s="11">
        <v>1</v>
      </c>
      <c r="T15" s="15">
        <v>54.4</v>
      </c>
      <c r="U15" s="11" t="s">
        <v>28</v>
      </c>
    </row>
    <row r="16" spans="1:21" ht="21" customHeight="1">
      <c r="A16" s="11">
        <v>15</v>
      </c>
      <c r="B16" s="11" t="s">
        <v>135</v>
      </c>
      <c r="C16" s="9" t="s">
        <v>150</v>
      </c>
      <c r="D16" s="12">
        <v>1992</v>
      </c>
      <c r="E16" s="12">
        <v>28</v>
      </c>
      <c r="F16" s="11" t="s">
        <v>32</v>
      </c>
      <c r="G16" s="11" t="s">
        <v>32</v>
      </c>
      <c r="H16" s="12">
        <v>4060</v>
      </c>
      <c r="I16" s="11" t="s">
        <v>29</v>
      </c>
      <c r="J16" s="11" t="s">
        <v>23</v>
      </c>
      <c r="K16" s="11" t="s">
        <v>23</v>
      </c>
      <c r="L16" s="13">
        <v>44034</v>
      </c>
      <c r="M16" s="13">
        <v>44036</v>
      </c>
      <c r="N16" s="11" t="s">
        <v>24</v>
      </c>
      <c r="O16" s="11" t="s">
        <v>25</v>
      </c>
      <c r="P16" s="11" t="s">
        <v>48</v>
      </c>
      <c r="Q16" s="11" t="s">
        <v>49</v>
      </c>
      <c r="R16" s="14">
        <v>7.0000000000000007E-2</v>
      </c>
      <c r="S16" s="11">
        <v>1</v>
      </c>
      <c r="T16" s="15">
        <v>61.7</v>
      </c>
      <c r="U16" s="11" t="s">
        <v>28</v>
      </c>
    </row>
    <row r="17" spans="1:21" ht="21" customHeight="1">
      <c r="A17" s="11">
        <v>16</v>
      </c>
      <c r="B17" s="11" t="s">
        <v>135</v>
      </c>
      <c r="C17" s="9" t="s">
        <v>151</v>
      </c>
      <c r="D17" s="12">
        <v>1942</v>
      </c>
      <c r="E17" s="12">
        <v>78</v>
      </c>
      <c r="F17" s="11" t="s">
        <v>21</v>
      </c>
      <c r="G17" s="11" t="s">
        <v>21</v>
      </c>
      <c r="H17" s="12">
        <v>4350</v>
      </c>
      <c r="I17" s="11" t="s">
        <v>22</v>
      </c>
      <c r="J17" s="11" t="s">
        <v>23</v>
      </c>
      <c r="K17" s="11" t="s">
        <v>23</v>
      </c>
      <c r="L17" s="13">
        <v>44081</v>
      </c>
      <c r="M17" s="13">
        <v>44082</v>
      </c>
      <c r="N17" s="11" t="s">
        <v>24</v>
      </c>
      <c r="O17" s="11" t="s">
        <v>25</v>
      </c>
      <c r="P17" s="11" t="s">
        <v>34</v>
      </c>
      <c r="Q17" s="11" t="s">
        <v>35</v>
      </c>
      <c r="R17" s="14">
        <v>14.817</v>
      </c>
      <c r="S17" s="11">
        <v>1</v>
      </c>
      <c r="T17" s="15">
        <v>79.400000000000006</v>
      </c>
      <c r="U17" s="11" t="s">
        <v>28</v>
      </c>
    </row>
    <row r="18" spans="1:21" ht="21" customHeight="1">
      <c r="A18" s="11">
        <v>17</v>
      </c>
      <c r="B18" s="11" t="s">
        <v>135</v>
      </c>
      <c r="C18" s="9" t="s">
        <v>152</v>
      </c>
      <c r="D18" s="12">
        <v>2001</v>
      </c>
      <c r="E18" s="12">
        <v>19</v>
      </c>
      <c r="F18" s="11" t="s">
        <v>32</v>
      </c>
      <c r="G18" s="11" t="s">
        <v>32</v>
      </c>
      <c r="H18" s="12">
        <v>4034</v>
      </c>
      <c r="I18" s="11" t="s">
        <v>22</v>
      </c>
      <c r="J18" s="11" t="s">
        <v>23</v>
      </c>
      <c r="K18" s="11" t="s">
        <v>23</v>
      </c>
      <c r="L18" s="13">
        <v>44095</v>
      </c>
      <c r="M18" s="13">
        <v>44097</v>
      </c>
      <c r="N18" s="11" t="s">
        <v>24</v>
      </c>
      <c r="O18" s="11" t="s">
        <v>25</v>
      </c>
      <c r="P18" s="11" t="s">
        <v>34</v>
      </c>
      <c r="Q18" s="11" t="s">
        <v>35</v>
      </c>
      <c r="R18" s="14">
        <v>16.959</v>
      </c>
      <c r="S18" s="11">
        <v>1</v>
      </c>
      <c r="T18" s="15">
        <v>76</v>
      </c>
      <c r="U18" s="11" t="s">
        <v>28</v>
      </c>
    </row>
    <row r="19" spans="1:21" ht="21" customHeight="1">
      <c r="A19" s="11">
        <v>18</v>
      </c>
      <c r="B19" s="11" t="s">
        <v>135</v>
      </c>
      <c r="C19" s="9" t="s">
        <v>153</v>
      </c>
      <c r="D19" s="12">
        <v>1941</v>
      </c>
      <c r="E19" s="12">
        <v>79</v>
      </c>
      <c r="F19" s="11" t="s">
        <v>32</v>
      </c>
      <c r="G19" s="11" t="s">
        <v>32</v>
      </c>
      <c r="H19" s="12">
        <v>4035</v>
      </c>
      <c r="I19" s="11" t="s">
        <v>22</v>
      </c>
      <c r="J19" s="11" t="s">
        <v>23</v>
      </c>
      <c r="K19" s="11" t="s">
        <v>23</v>
      </c>
      <c r="L19" s="13">
        <v>44108</v>
      </c>
      <c r="M19" s="13">
        <v>44110</v>
      </c>
      <c r="N19" s="11" t="s">
        <v>24</v>
      </c>
      <c r="O19" s="11" t="s">
        <v>25</v>
      </c>
      <c r="P19" s="11" t="s">
        <v>44</v>
      </c>
      <c r="Q19" s="11" t="s">
        <v>45</v>
      </c>
      <c r="R19" s="14">
        <v>2.1999999999999999E-2</v>
      </c>
      <c r="S19" s="11">
        <v>1</v>
      </c>
      <c r="T19" s="15">
        <v>565.5</v>
      </c>
      <c r="U19" s="11" t="s">
        <v>28</v>
      </c>
    </row>
    <row r="20" spans="1:21" ht="21" customHeight="1">
      <c r="A20" s="11">
        <v>19</v>
      </c>
      <c r="B20" s="11" t="s">
        <v>135</v>
      </c>
      <c r="C20" s="9" t="s">
        <v>154</v>
      </c>
      <c r="D20" s="12">
        <v>2001</v>
      </c>
      <c r="E20" s="12">
        <v>19</v>
      </c>
      <c r="F20" s="11" t="s">
        <v>21</v>
      </c>
      <c r="G20" s="11" t="s">
        <v>21</v>
      </c>
      <c r="H20" s="12">
        <v>4077</v>
      </c>
      <c r="I20" s="11" t="s">
        <v>22</v>
      </c>
      <c r="J20" s="11" t="s">
        <v>23</v>
      </c>
      <c r="K20" s="11" t="s">
        <v>23</v>
      </c>
      <c r="L20" s="13">
        <v>44114</v>
      </c>
      <c r="M20" s="13">
        <v>44118</v>
      </c>
      <c r="N20" s="11" t="s">
        <v>24</v>
      </c>
      <c r="O20" s="11" t="s">
        <v>25</v>
      </c>
      <c r="P20" s="11" t="s">
        <v>48</v>
      </c>
      <c r="Q20" s="11" t="s">
        <v>49</v>
      </c>
      <c r="R20" s="14">
        <v>0.33300000000000002</v>
      </c>
      <c r="S20" s="11">
        <v>1</v>
      </c>
      <c r="T20" s="15">
        <v>140.5</v>
      </c>
      <c r="U20" s="11" t="s">
        <v>28</v>
      </c>
    </row>
    <row r="21" spans="1:21" ht="21" customHeight="1">
      <c r="A21" s="11">
        <v>20</v>
      </c>
      <c r="B21" s="11" t="s">
        <v>135</v>
      </c>
      <c r="C21" s="9" t="s">
        <v>155</v>
      </c>
      <c r="D21" s="12">
        <v>1986</v>
      </c>
      <c r="E21" s="12">
        <v>35</v>
      </c>
      <c r="F21" s="11" t="s">
        <v>32</v>
      </c>
      <c r="G21" s="11" t="s">
        <v>32</v>
      </c>
      <c r="H21" s="12">
        <v>4064</v>
      </c>
      <c r="I21" s="11" t="s">
        <v>22</v>
      </c>
      <c r="J21" s="11" t="s">
        <v>23</v>
      </c>
      <c r="K21" s="11" t="s">
        <v>23</v>
      </c>
      <c r="L21" s="13">
        <v>44241</v>
      </c>
      <c r="M21" s="13">
        <v>44244</v>
      </c>
      <c r="N21" s="11" t="s">
        <v>24</v>
      </c>
      <c r="O21" s="11" t="s">
        <v>25</v>
      </c>
      <c r="P21" s="11" t="s">
        <v>30</v>
      </c>
      <c r="Q21" s="11" t="s">
        <v>31</v>
      </c>
      <c r="R21" s="14">
        <v>6.2E-2</v>
      </c>
      <c r="S21" s="11">
        <v>1</v>
      </c>
      <c r="T21" s="15">
        <v>17.7</v>
      </c>
      <c r="U21" s="11" t="s">
        <v>28</v>
      </c>
    </row>
    <row r="22" spans="1:21" ht="21" customHeight="1">
      <c r="A22" s="11">
        <v>21</v>
      </c>
      <c r="B22" s="11" t="s">
        <v>135</v>
      </c>
      <c r="C22" s="9" t="s">
        <v>156</v>
      </c>
      <c r="D22" s="12">
        <v>1947</v>
      </c>
      <c r="E22" s="12">
        <v>74</v>
      </c>
      <c r="F22" s="11" t="s">
        <v>32</v>
      </c>
      <c r="G22" s="11" t="s">
        <v>32</v>
      </c>
      <c r="H22" s="12">
        <v>4113</v>
      </c>
      <c r="I22" s="11" t="s">
        <v>22</v>
      </c>
      <c r="J22" s="11" t="s">
        <v>23</v>
      </c>
      <c r="K22" s="11" t="s">
        <v>23</v>
      </c>
      <c r="L22" s="13">
        <v>44271</v>
      </c>
      <c r="M22" s="13">
        <v>44273</v>
      </c>
      <c r="N22" s="11" t="s">
        <v>24</v>
      </c>
      <c r="O22" s="11" t="s">
        <v>25</v>
      </c>
      <c r="P22" s="11" t="s">
        <v>30</v>
      </c>
      <c r="Q22" s="11" t="s">
        <v>31</v>
      </c>
      <c r="R22" s="14">
        <v>3.01</v>
      </c>
      <c r="S22" s="11">
        <v>1</v>
      </c>
      <c r="T22" s="15">
        <v>12.3</v>
      </c>
      <c r="U22" s="11" t="s">
        <v>28</v>
      </c>
    </row>
    <row r="23" spans="1:21" ht="21" customHeight="1">
      <c r="A23" s="11">
        <v>22</v>
      </c>
      <c r="B23" s="11" t="s">
        <v>135</v>
      </c>
      <c r="C23" s="9" t="s">
        <v>157</v>
      </c>
      <c r="D23" s="12">
        <v>1939</v>
      </c>
      <c r="E23" s="12">
        <v>82</v>
      </c>
      <c r="F23" s="11" t="s">
        <v>32</v>
      </c>
      <c r="G23" s="11" t="s">
        <v>32</v>
      </c>
      <c r="H23" s="12">
        <v>4870</v>
      </c>
      <c r="I23" s="11" t="s">
        <v>22</v>
      </c>
      <c r="J23" s="11" t="s">
        <v>23</v>
      </c>
      <c r="K23" s="11" t="s">
        <v>23</v>
      </c>
      <c r="L23" s="13">
        <v>44278</v>
      </c>
      <c r="M23" s="13">
        <v>44280</v>
      </c>
      <c r="N23" s="11" t="s">
        <v>24</v>
      </c>
      <c r="O23" s="11" t="s">
        <v>25</v>
      </c>
      <c r="P23" s="11" t="s">
        <v>40</v>
      </c>
      <c r="Q23" s="11" t="s">
        <v>41</v>
      </c>
      <c r="R23" s="14">
        <v>0.124</v>
      </c>
      <c r="S23" s="11">
        <v>1</v>
      </c>
      <c r="T23" s="15">
        <v>111.5</v>
      </c>
      <c r="U23" s="11" t="s">
        <v>28</v>
      </c>
    </row>
    <row r="24" spans="1:21" ht="21" customHeight="1">
      <c r="A24" s="11">
        <v>23</v>
      </c>
      <c r="B24" s="11" t="s">
        <v>135</v>
      </c>
      <c r="C24" s="9" t="s">
        <v>158</v>
      </c>
      <c r="D24" s="12">
        <v>1972</v>
      </c>
      <c r="E24" s="12">
        <v>49</v>
      </c>
      <c r="F24" s="11" t="s">
        <v>32</v>
      </c>
      <c r="G24" s="11" t="s">
        <v>32</v>
      </c>
      <c r="H24" s="12">
        <v>4006</v>
      </c>
      <c r="I24" s="11" t="s">
        <v>33</v>
      </c>
      <c r="J24" s="11" t="s">
        <v>23</v>
      </c>
      <c r="K24" s="11" t="s">
        <v>23</v>
      </c>
      <c r="L24" s="13">
        <v>44292</v>
      </c>
      <c r="M24" s="13">
        <v>44295</v>
      </c>
      <c r="N24" s="11" t="s">
        <v>24</v>
      </c>
      <c r="O24" s="11" t="s">
        <v>25</v>
      </c>
      <c r="P24" s="11" t="s">
        <v>38</v>
      </c>
      <c r="Q24" s="11" t="s">
        <v>39</v>
      </c>
      <c r="R24" s="14">
        <v>0.128</v>
      </c>
      <c r="S24" s="11">
        <v>1</v>
      </c>
      <c r="T24" s="15">
        <v>116.2</v>
      </c>
      <c r="U24" s="11" t="s">
        <v>28</v>
      </c>
    </row>
    <row r="25" spans="1:21" ht="21" customHeight="1">
      <c r="A25" s="11">
        <v>24</v>
      </c>
      <c r="B25" s="11" t="s">
        <v>135</v>
      </c>
      <c r="C25" s="9" t="s">
        <v>159</v>
      </c>
      <c r="D25" s="12">
        <v>2009</v>
      </c>
      <c r="E25" s="12">
        <v>12</v>
      </c>
      <c r="F25" s="11" t="s">
        <v>32</v>
      </c>
      <c r="G25" s="11" t="s">
        <v>32</v>
      </c>
      <c r="H25" s="12">
        <v>4230</v>
      </c>
      <c r="I25" s="11" t="s">
        <v>22</v>
      </c>
      <c r="J25" s="11" t="s">
        <v>23</v>
      </c>
      <c r="K25" s="11" t="s">
        <v>23</v>
      </c>
      <c r="L25" s="13">
        <v>44356</v>
      </c>
      <c r="M25" s="13">
        <v>44363</v>
      </c>
      <c r="N25" s="11" t="s">
        <v>24</v>
      </c>
      <c r="O25" s="11" t="s">
        <v>25</v>
      </c>
      <c r="P25" s="11" t="s">
        <v>50</v>
      </c>
      <c r="Q25" s="11" t="s">
        <v>51</v>
      </c>
      <c r="R25" s="14">
        <v>1.2999999999999999E-2</v>
      </c>
      <c r="S25" s="11">
        <v>1</v>
      </c>
      <c r="T25" s="15">
        <v>26.7</v>
      </c>
      <c r="U25" s="11" t="s">
        <v>28</v>
      </c>
    </row>
    <row r="26" spans="1:21" ht="21" customHeight="1">
      <c r="A26" s="11">
        <v>25</v>
      </c>
      <c r="B26" s="11" t="s">
        <v>135</v>
      </c>
      <c r="C26" s="9" t="s">
        <v>160</v>
      </c>
      <c r="D26" s="12">
        <v>1955</v>
      </c>
      <c r="E26" s="12">
        <v>66</v>
      </c>
      <c r="F26" s="11" t="s">
        <v>21</v>
      </c>
      <c r="G26" s="11" t="s">
        <v>21</v>
      </c>
      <c r="H26" s="12">
        <v>4306</v>
      </c>
      <c r="I26" s="11" t="s">
        <v>22</v>
      </c>
      <c r="J26" s="11" t="s">
        <v>23</v>
      </c>
      <c r="K26" s="11" t="s">
        <v>23</v>
      </c>
      <c r="L26" s="13">
        <v>44376</v>
      </c>
      <c r="M26" s="13">
        <v>44382</v>
      </c>
      <c r="N26" s="11" t="s">
        <v>24</v>
      </c>
      <c r="O26" s="11" t="s">
        <v>25</v>
      </c>
      <c r="P26" s="11" t="s">
        <v>52</v>
      </c>
      <c r="Q26" s="11" t="s">
        <v>53</v>
      </c>
      <c r="R26" s="14">
        <v>2.8000000000000001E-2</v>
      </c>
      <c r="S26" s="11">
        <v>1</v>
      </c>
      <c r="T26" s="15">
        <v>5500</v>
      </c>
      <c r="U26" s="11" t="s">
        <v>28</v>
      </c>
    </row>
    <row r="27" spans="1:21" ht="21" customHeight="1">
      <c r="A27" s="11">
        <v>26</v>
      </c>
      <c r="B27" s="11" t="s">
        <v>135</v>
      </c>
      <c r="C27" s="9" t="s">
        <v>161</v>
      </c>
      <c r="D27" s="12">
        <v>1988</v>
      </c>
      <c r="E27" s="12">
        <v>33</v>
      </c>
      <c r="F27" s="11" t="s">
        <v>32</v>
      </c>
      <c r="G27" s="11" t="s">
        <v>32</v>
      </c>
      <c r="H27" s="12">
        <v>4060</v>
      </c>
      <c r="I27" s="11" t="s">
        <v>22</v>
      </c>
      <c r="J27" s="11" t="s">
        <v>23</v>
      </c>
      <c r="K27" s="11" t="s">
        <v>23</v>
      </c>
      <c r="L27" s="13">
        <v>44447</v>
      </c>
      <c r="M27" s="13">
        <v>44451</v>
      </c>
      <c r="N27" s="11" t="s">
        <v>24</v>
      </c>
      <c r="O27" s="11" t="s">
        <v>25</v>
      </c>
      <c r="P27" s="11" t="s">
        <v>52</v>
      </c>
      <c r="Q27" s="11" t="s">
        <v>53</v>
      </c>
      <c r="R27" s="14">
        <v>2.1000000000000001E-2</v>
      </c>
      <c r="S27" s="11">
        <v>1</v>
      </c>
      <c r="T27" s="15">
        <v>68.8</v>
      </c>
      <c r="U27" s="11" t="s">
        <v>28</v>
      </c>
    </row>
    <row r="28" spans="1:21" ht="21" customHeight="1">
      <c r="A28" s="11">
        <v>27</v>
      </c>
      <c r="B28" s="11" t="s">
        <v>135</v>
      </c>
      <c r="C28" s="9" t="s">
        <v>162</v>
      </c>
      <c r="D28" s="12">
        <v>1951</v>
      </c>
      <c r="E28" s="12">
        <v>70</v>
      </c>
      <c r="F28" s="11" t="s">
        <v>32</v>
      </c>
      <c r="G28" s="11" t="s">
        <v>32</v>
      </c>
      <c r="H28" s="12">
        <v>4503</v>
      </c>
      <c r="I28" s="11" t="s">
        <v>22</v>
      </c>
      <c r="J28" s="11" t="s">
        <v>23</v>
      </c>
      <c r="K28" s="11" t="s">
        <v>23</v>
      </c>
      <c r="L28" s="13">
        <v>44469</v>
      </c>
      <c r="M28" s="13">
        <v>44472</v>
      </c>
      <c r="N28" s="11" t="s">
        <v>24</v>
      </c>
      <c r="O28" s="11" t="s">
        <v>25</v>
      </c>
      <c r="P28" s="11" t="s">
        <v>46</v>
      </c>
      <c r="Q28" s="11" t="s">
        <v>47</v>
      </c>
      <c r="R28" s="14">
        <v>8.8699999999999992</v>
      </c>
      <c r="S28" s="11">
        <v>1</v>
      </c>
      <c r="T28" s="15">
        <v>222.1</v>
      </c>
      <c r="U28" s="11" t="s">
        <v>28</v>
      </c>
    </row>
    <row r="29" spans="1:21" ht="21" customHeight="1">
      <c r="A29" s="11">
        <v>28</v>
      </c>
      <c r="B29" s="11" t="s">
        <v>135</v>
      </c>
      <c r="C29" s="9" t="s">
        <v>163</v>
      </c>
      <c r="D29" s="12">
        <v>1987</v>
      </c>
      <c r="E29" s="12">
        <v>34</v>
      </c>
      <c r="F29" s="11" t="s">
        <v>21</v>
      </c>
      <c r="G29" s="11" t="s">
        <v>21</v>
      </c>
      <c r="H29" s="12">
        <v>4503</v>
      </c>
      <c r="I29" s="11" t="s">
        <v>33</v>
      </c>
      <c r="J29" s="11" t="s">
        <v>23</v>
      </c>
      <c r="K29" s="11" t="s">
        <v>23</v>
      </c>
      <c r="L29" s="13">
        <v>44491</v>
      </c>
      <c r="M29" s="13">
        <v>44498</v>
      </c>
      <c r="N29" s="11" t="s">
        <v>24</v>
      </c>
      <c r="O29" s="11" t="s">
        <v>25</v>
      </c>
      <c r="P29" s="11" t="s">
        <v>26</v>
      </c>
      <c r="Q29" s="11" t="s">
        <v>27</v>
      </c>
      <c r="R29" s="14">
        <v>0.02</v>
      </c>
      <c r="S29" s="11">
        <v>1</v>
      </c>
      <c r="T29" s="15">
        <v>323.60000000000002</v>
      </c>
      <c r="U29" s="11" t="s">
        <v>28</v>
      </c>
    </row>
    <row r="30" spans="1:21" ht="21" customHeight="1">
      <c r="A30" s="11">
        <v>29</v>
      </c>
      <c r="B30" s="11" t="s">
        <v>135</v>
      </c>
      <c r="C30" s="9" t="s">
        <v>164</v>
      </c>
      <c r="D30" s="12">
        <v>1994</v>
      </c>
      <c r="E30" s="12">
        <v>27</v>
      </c>
      <c r="F30" s="11" t="s">
        <v>32</v>
      </c>
      <c r="G30" s="11" t="s">
        <v>32</v>
      </c>
      <c r="H30" s="12">
        <v>4112</v>
      </c>
      <c r="I30" s="11" t="s">
        <v>22</v>
      </c>
      <c r="J30" s="11" t="s">
        <v>23</v>
      </c>
      <c r="K30" s="11" t="s">
        <v>23</v>
      </c>
      <c r="L30" s="13">
        <v>44513</v>
      </c>
      <c r="M30" s="13">
        <v>44516</v>
      </c>
      <c r="N30" s="11" t="s">
        <v>24</v>
      </c>
      <c r="O30" s="11" t="s">
        <v>25</v>
      </c>
      <c r="P30" s="11" t="s">
        <v>30</v>
      </c>
      <c r="Q30" s="11" t="s">
        <v>31</v>
      </c>
      <c r="R30" s="14">
        <v>2.8370000000000002</v>
      </c>
      <c r="S30" s="11">
        <v>1</v>
      </c>
      <c r="T30" s="15">
        <v>45.8</v>
      </c>
      <c r="U30" s="11" t="s">
        <v>28</v>
      </c>
    </row>
    <row r="31" spans="1:21" ht="21" customHeight="1">
      <c r="A31" s="11">
        <v>30</v>
      </c>
      <c r="B31" s="11" t="s">
        <v>135</v>
      </c>
      <c r="C31" s="9" t="s">
        <v>165</v>
      </c>
      <c r="D31" s="12">
        <v>1960</v>
      </c>
      <c r="E31" s="12">
        <v>62</v>
      </c>
      <c r="F31" s="11" t="s">
        <v>32</v>
      </c>
      <c r="G31" s="11" t="s">
        <v>32</v>
      </c>
      <c r="H31" s="12">
        <v>4405</v>
      </c>
      <c r="I31" s="11" t="s">
        <v>22</v>
      </c>
      <c r="J31" s="11" t="s">
        <v>23</v>
      </c>
      <c r="K31" s="11" t="s">
        <v>23</v>
      </c>
      <c r="L31" s="13">
        <v>44595</v>
      </c>
      <c r="M31" s="13">
        <v>44600</v>
      </c>
      <c r="N31" s="11" t="s">
        <v>24</v>
      </c>
      <c r="O31" s="11" t="s">
        <v>25</v>
      </c>
      <c r="P31" s="11" t="s">
        <v>40</v>
      </c>
      <c r="Q31" s="11" t="s">
        <v>41</v>
      </c>
      <c r="R31" s="14">
        <v>6.0000000000000001E-3</v>
      </c>
      <c r="S31" s="11">
        <v>1</v>
      </c>
      <c r="T31" s="15">
        <v>135.69999999999999</v>
      </c>
      <c r="U31" s="11" t="s">
        <v>28</v>
      </c>
    </row>
    <row r="32" spans="1:21" ht="21" customHeight="1">
      <c r="A32" s="11">
        <v>31</v>
      </c>
      <c r="B32" s="11" t="s">
        <v>135</v>
      </c>
      <c r="C32" s="9" t="s">
        <v>166</v>
      </c>
      <c r="D32" s="12">
        <v>1942</v>
      </c>
      <c r="E32" s="12">
        <v>80</v>
      </c>
      <c r="F32" s="11" t="s">
        <v>32</v>
      </c>
      <c r="G32" s="11" t="s">
        <v>32</v>
      </c>
      <c r="H32" s="12">
        <v>4509</v>
      </c>
      <c r="I32" s="11" t="s">
        <v>22</v>
      </c>
      <c r="J32" s="11" t="s">
        <v>23</v>
      </c>
      <c r="K32" s="11" t="s">
        <v>23</v>
      </c>
      <c r="L32" s="13">
        <v>44606</v>
      </c>
      <c r="M32" s="13">
        <v>44608</v>
      </c>
      <c r="N32" s="11" t="s">
        <v>24</v>
      </c>
      <c r="O32" s="11" t="s">
        <v>25</v>
      </c>
      <c r="P32" s="11" t="s">
        <v>40</v>
      </c>
      <c r="Q32" s="11" t="s">
        <v>41</v>
      </c>
      <c r="R32" s="14">
        <v>4.9000000000000002E-2</v>
      </c>
      <c r="S32" s="11">
        <v>1</v>
      </c>
      <c r="T32" s="15">
        <v>91.3</v>
      </c>
      <c r="U32" s="11" t="s">
        <v>28</v>
      </c>
    </row>
    <row r="33" spans="1:21" ht="21" customHeight="1">
      <c r="A33" s="11">
        <v>32</v>
      </c>
      <c r="B33" s="11" t="s">
        <v>135</v>
      </c>
      <c r="C33" s="9" t="s">
        <v>167</v>
      </c>
      <c r="D33" s="12">
        <v>1964</v>
      </c>
      <c r="E33" s="12">
        <v>58</v>
      </c>
      <c r="F33" s="11" t="s">
        <v>21</v>
      </c>
      <c r="G33" s="11" t="s">
        <v>21</v>
      </c>
      <c r="H33" s="12">
        <v>4006</v>
      </c>
      <c r="I33" s="11" t="s">
        <v>22</v>
      </c>
      <c r="J33" s="11" t="s">
        <v>23</v>
      </c>
      <c r="K33" s="11" t="s">
        <v>23</v>
      </c>
      <c r="L33" s="13">
        <v>44609</v>
      </c>
      <c r="M33" s="13">
        <v>44612</v>
      </c>
      <c r="N33" s="11" t="s">
        <v>24</v>
      </c>
      <c r="O33" s="11" t="s">
        <v>25</v>
      </c>
      <c r="P33" s="11" t="s">
        <v>44</v>
      </c>
      <c r="Q33" s="11" t="s">
        <v>45</v>
      </c>
      <c r="R33" s="14">
        <v>3.1E-2</v>
      </c>
      <c r="S33" s="11">
        <v>1</v>
      </c>
      <c r="T33" s="15">
        <v>50.9</v>
      </c>
      <c r="U33" s="11" t="s">
        <v>28</v>
      </c>
    </row>
    <row r="34" spans="1:21" ht="21" customHeight="1">
      <c r="A34" s="11">
        <v>33</v>
      </c>
      <c r="B34" s="11" t="s">
        <v>135</v>
      </c>
      <c r="C34" s="9" t="s">
        <v>168</v>
      </c>
      <c r="D34" s="12">
        <v>2006</v>
      </c>
      <c r="E34" s="12">
        <v>16</v>
      </c>
      <c r="F34" s="11" t="s">
        <v>21</v>
      </c>
      <c r="G34" s="11" t="s">
        <v>21</v>
      </c>
      <c r="H34" s="12">
        <v>4740</v>
      </c>
      <c r="I34" s="11" t="s">
        <v>22</v>
      </c>
      <c r="J34" s="11" t="s">
        <v>23</v>
      </c>
      <c r="K34" s="11" t="s">
        <v>23</v>
      </c>
      <c r="L34" s="13">
        <v>44655</v>
      </c>
      <c r="M34" s="13">
        <v>44658</v>
      </c>
      <c r="N34" s="11" t="s">
        <v>24</v>
      </c>
      <c r="O34" s="11" t="s">
        <v>25</v>
      </c>
      <c r="P34" s="11" t="s">
        <v>36</v>
      </c>
      <c r="Q34" s="11" t="s">
        <v>37</v>
      </c>
      <c r="R34" s="14">
        <v>10.446</v>
      </c>
      <c r="S34" s="11">
        <v>1</v>
      </c>
      <c r="T34" s="15">
        <v>22.1</v>
      </c>
      <c r="U34" s="11" t="s">
        <v>28</v>
      </c>
    </row>
    <row r="35" spans="1:21" ht="21" customHeight="1">
      <c r="A35" s="11">
        <v>34</v>
      </c>
      <c r="B35" s="11" t="s">
        <v>135</v>
      </c>
      <c r="C35" s="9" t="s">
        <v>169</v>
      </c>
      <c r="D35" s="12">
        <v>2009</v>
      </c>
      <c r="E35" s="12">
        <v>13</v>
      </c>
      <c r="F35" s="11" t="s">
        <v>21</v>
      </c>
      <c r="G35" s="11" t="s">
        <v>21</v>
      </c>
      <c r="H35" s="12">
        <v>4165</v>
      </c>
      <c r="I35" s="11" t="s">
        <v>22</v>
      </c>
      <c r="J35" s="11" t="s">
        <v>23</v>
      </c>
      <c r="K35" s="11" t="s">
        <v>23</v>
      </c>
      <c r="L35" s="13">
        <v>44660</v>
      </c>
      <c r="M35" s="13">
        <v>44664</v>
      </c>
      <c r="N35" s="11" t="s">
        <v>24</v>
      </c>
      <c r="O35" s="11" t="s">
        <v>25</v>
      </c>
      <c r="P35" s="11" t="s">
        <v>34</v>
      </c>
      <c r="Q35" s="11" t="s">
        <v>35</v>
      </c>
      <c r="R35" s="14">
        <v>2.758</v>
      </c>
      <c r="S35" s="11">
        <v>1</v>
      </c>
      <c r="T35" s="15">
        <v>168.9</v>
      </c>
      <c r="U35" s="11" t="s">
        <v>28</v>
      </c>
    </row>
    <row r="36" spans="1:21" ht="21" customHeight="1">
      <c r="A36" s="11">
        <v>35</v>
      </c>
      <c r="B36" s="11" t="s">
        <v>135</v>
      </c>
      <c r="C36" s="9" t="s">
        <v>170</v>
      </c>
      <c r="D36" s="12">
        <v>1950</v>
      </c>
      <c r="E36" s="12">
        <v>72</v>
      </c>
      <c r="F36" s="11" t="s">
        <v>32</v>
      </c>
      <c r="G36" s="11" t="s">
        <v>32</v>
      </c>
      <c r="H36" s="12">
        <v>4060</v>
      </c>
      <c r="I36" s="11" t="s">
        <v>22</v>
      </c>
      <c r="J36" s="11" t="s">
        <v>23</v>
      </c>
      <c r="K36" s="11" t="s">
        <v>23</v>
      </c>
      <c r="L36" s="13">
        <v>44675</v>
      </c>
      <c r="M36" s="13">
        <v>44678</v>
      </c>
      <c r="N36" s="11" t="s">
        <v>24</v>
      </c>
      <c r="O36" s="11" t="s">
        <v>25</v>
      </c>
      <c r="P36" s="11" t="s">
        <v>48</v>
      </c>
      <c r="Q36" s="11" t="s">
        <v>49</v>
      </c>
      <c r="R36" s="14">
        <v>0.23100000000000001</v>
      </c>
      <c r="S36" s="11">
        <v>1</v>
      </c>
      <c r="T36" s="15">
        <v>47.3</v>
      </c>
      <c r="U36" s="11" t="s">
        <v>28</v>
      </c>
    </row>
    <row r="37" spans="1:21" ht="21" customHeight="1">
      <c r="A37" s="11">
        <v>36</v>
      </c>
      <c r="B37" s="11" t="s">
        <v>135</v>
      </c>
      <c r="C37" s="9" t="s">
        <v>171</v>
      </c>
      <c r="D37" s="12">
        <v>1957</v>
      </c>
      <c r="E37" s="12">
        <v>65</v>
      </c>
      <c r="F37" s="11" t="s">
        <v>21</v>
      </c>
      <c r="G37" s="11" t="s">
        <v>21</v>
      </c>
      <c r="H37" s="12">
        <v>4151</v>
      </c>
      <c r="I37" s="11" t="s">
        <v>22</v>
      </c>
      <c r="J37" s="11" t="s">
        <v>23</v>
      </c>
      <c r="K37" s="11" t="s">
        <v>23</v>
      </c>
      <c r="L37" s="13">
        <v>44809</v>
      </c>
      <c r="M37" s="13">
        <v>44811</v>
      </c>
      <c r="N37" s="11" t="s">
        <v>24</v>
      </c>
      <c r="O37" s="11" t="s">
        <v>25</v>
      </c>
      <c r="P37" s="11" t="s">
        <v>36</v>
      </c>
      <c r="Q37" s="11" t="s">
        <v>37</v>
      </c>
      <c r="R37" s="14">
        <v>2.5000000000000001E-2</v>
      </c>
      <c r="S37" s="11">
        <v>1</v>
      </c>
      <c r="T37" s="15">
        <v>22.6</v>
      </c>
      <c r="U37" s="11" t="s">
        <v>28</v>
      </c>
    </row>
    <row r="38" spans="1:21" ht="21" customHeight="1">
      <c r="A38" s="11">
        <v>37</v>
      </c>
      <c r="B38" s="11" t="s">
        <v>135</v>
      </c>
      <c r="C38" s="9" t="s">
        <v>172</v>
      </c>
      <c r="D38" s="12">
        <v>1999</v>
      </c>
      <c r="E38" s="12">
        <v>23</v>
      </c>
      <c r="F38" s="11" t="s">
        <v>32</v>
      </c>
      <c r="G38" s="11" t="s">
        <v>32</v>
      </c>
      <c r="H38" s="12">
        <v>4810</v>
      </c>
      <c r="I38" s="11" t="s">
        <v>54</v>
      </c>
      <c r="J38" s="11" t="s">
        <v>23</v>
      </c>
      <c r="K38" s="11" t="s">
        <v>23</v>
      </c>
      <c r="L38" s="13">
        <v>44817</v>
      </c>
      <c r="M38" s="13">
        <v>44818</v>
      </c>
      <c r="N38" s="11" t="s">
        <v>24</v>
      </c>
      <c r="O38" s="11" t="s">
        <v>25</v>
      </c>
      <c r="P38" s="11" t="s">
        <v>40</v>
      </c>
      <c r="Q38" s="11" t="s">
        <v>41</v>
      </c>
      <c r="R38" s="14">
        <v>0.08</v>
      </c>
      <c r="S38" s="11">
        <v>1</v>
      </c>
      <c r="T38" s="15">
        <v>224.3</v>
      </c>
      <c r="U38" s="11" t="s">
        <v>28</v>
      </c>
    </row>
    <row r="39" spans="1:21" ht="21" customHeight="1">
      <c r="A39" s="11">
        <v>38</v>
      </c>
      <c r="B39" s="11" t="s">
        <v>135</v>
      </c>
      <c r="C39" s="9" t="s">
        <v>173</v>
      </c>
      <c r="D39" s="12">
        <v>2005</v>
      </c>
      <c r="E39" s="12">
        <v>17</v>
      </c>
      <c r="F39" s="11" t="s">
        <v>32</v>
      </c>
      <c r="G39" s="11" t="s">
        <v>32</v>
      </c>
      <c r="H39" s="12">
        <v>4670</v>
      </c>
      <c r="I39" s="11" t="s">
        <v>29</v>
      </c>
      <c r="J39" s="11" t="s">
        <v>23</v>
      </c>
      <c r="K39" s="11" t="s">
        <v>23</v>
      </c>
      <c r="L39" s="13">
        <v>44823</v>
      </c>
      <c r="M39" s="13">
        <v>44824</v>
      </c>
      <c r="N39" s="11" t="s">
        <v>24</v>
      </c>
      <c r="O39" s="11" t="s">
        <v>25</v>
      </c>
      <c r="P39" s="11" t="s">
        <v>52</v>
      </c>
      <c r="Q39" s="11" t="s">
        <v>53</v>
      </c>
      <c r="R39" s="14">
        <v>0.14299999999999999</v>
      </c>
      <c r="S39" s="11">
        <v>1</v>
      </c>
      <c r="T39" s="15">
        <v>48.6</v>
      </c>
      <c r="U39" s="11" t="s">
        <v>28</v>
      </c>
    </row>
    <row r="40" spans="1:21" ht="21" customHeight="1">
      <c r="A40" s="11">
        <v>39</v>
      </c>
      <c r="B40" s="11" t="s">
        <v>135</v>
      </c>
      <c r="C40" s="9" t="s">
        <v>174</v>
      </c>
      <c r="D40" s="12">
        <v>1947</v>
      </c>
      <c r="E40" s="12">
        <v>75</v>
      </c>
      <c r="F40" s="11" t="s">
        <v>21</v>
      </c>
      <c r="G40" s="11" t="s">
        <v>21</v>
      </c>
      <c r="H40" s="12">
        <v>4018</v>
      </c>
      <c r="I40" s="11" t="s">
        <v>22</v>
      </c>
      <c r="J40" s="11" t="s">
        <v>23</v>
      </c>
      <c r="K40" s="11" t="s">
        <v>23</v>
      </c>
      <c r="L40" s="13">
        <v>44854</v>
      </c>
      <c r="M40" s="13">
        <v>44858</v>
      </c>
      <c r="N40" s="11" t="s">
        <v>24</v>
      </c>
      <c r="O40" s="11" t="s">
        <v>25</v>
      </c>
      <c r="P40" s="11" t="s">
        <v>55</v>
      </c>
      <c r="Q40" s="11" t="s">
        <v>56</v>
      </c>
      <c r="R40" s="14">
        <v>1.9E-2</v>
      </c>
      <c r="S40" s="11">
        <v>1</v>
      </c>
      <c r="T40" s="15">
        <v>24.8</v>
      </c>
      <c r="U40" s="11" t="s">
        <v>28</v>
      </c>
    </row>
    <row r="41" spans="1:21" ht="21" customHeight="1">
      <c r="A41" s="11">
        <v>40</v>
      </c>
      <c r="B41" s="11" t="s">
        <v>135</v>
      </c>
      <c r="C41" s="9" t="s">
        <v>175</v>
      </c>
      <c r="D41" s="12">
        <v>1958</v>
      </c>
      <c r="E41" s="12">
        <v>64</v>
      </c>
      <c r="F41" s="11" t="s">
        <v>21</v>
      </c>
      <c r="G41" s="11" t="s">
        <v>21</v>
      </c>
      <c r="H41" s="12">
        <v>4035</v>
      </c>
      <c r="I41" s="11" t="s">
        <v>22</v>
      </c>
      <c r="J41" s="11" t="s">
        <v>23</v>
      </c>
      <c r="K41" s="11" t="s">
        <v>23</v>
      </c>
      <c r="L41" s="13">
        <v>44875</v>
      </c>
      <c r="M41" s="13">
        <v>44877</v>
      </c>
      <c r="N41" s="11" t="s">
        <v>24</v>
      </c>
      <c r="O41" s="11" t="s">
        <v>25</v>
      </c>
      <c r="P41" s="11" t="s">
        <v>34</v>
      </c>
      <c r="Q41" s="11" t="s">
        <v>35</v>
      </c>
      <c r="R41" s="14">
        <v>20.068000000000001</v>
      </c>
      <c r="S41" s="11">
        <v>1</v>
      </c>
      <c r="T41" s="15">
        <v>108.8</v>
      </c>
      <c r="U41" s="11" t="s">
        <v>28</v>
      </c>
    </row>
    <row r="42" spans="1:21" ht="21" customHeight="1">
      <c r="A42" s="11">
        <v>41</v>
      </c>
      <c r="B42" s="11" t="s">
        <v>135</v>
      </c>
      <c r="C42" s="9" t="s">
        <v>176</v>
      </c>
      <c r="D42" s="12">
        <v>1975</v>
      </c>
      <c r="E42" s="12">
        <v>47</v>
      </c>
      <c r="F42" s="11" t="s">
        <v>32</v>
      </c>
      <c r="G42" s="11" t="s">
        <v>32</v>
      </c>
      <c r="H42" s="12">
        <v>4053</v>
      </c>
      <c r="I42" s="11" t="s">
        <v>22</v>
      </c>
      <c r="J42" s="11" t="s">
        <v>23</v>
      </c>
      <c r="K42" s="11" t="s">
        <v>23</v>
      </c>
      <c r="L42" s="13">
        <v>44907</v>
      </c>
      <c r="M42" s="13">
        <v>44908</v>
      </c>
      <c r="N42" s="11" t="s">
        <v>24</v>
      </c>
      <c r="O42" s="11" t="s">
        <v>25</v>
      </c>
      <c r="P42" s="11" t="s">
        <v>34</v>
      </c>
      <c r="Q42" s="11" t="s">
        <v>35</v>
      </c>
      <c r="R42" s="14">
        <v>27.670999999999999</v>
      </c>
      <c r="S42" s="11">
        <v>1</v>
      </c>
      <c r="T42" s="15">
        <v>333.2</v>
      </c>
      <c r="U42" s="11" t="s">
        <v>28</v>
      </c>
    </row>
    <row r="43" spans="1:21" ht="21" customHeight="1">
      <c r="A43" s="11">
        <v>42</v>
      </c>
      <c r="B43" s="11" t="s">
        <v>135</v>
      </c>
      <c r="C43" s="9" t="s">
        <v>177</v>
      </c>
      <c r="D43" s="12">
        <v>1975</v>
      </c>
      <c r="E43" s="12">
        <v>47</v>
      </c>
      <c r="F43" s="11" t="s">
        <v>32</v>
      </c>
      <c r="G43" s="11" t="s">
        <v>32</v>
      </c>
      <c r="H43" s="12">
        <v>4053</v>
      </c>
      <c r="I43" s="11" t="s">
        <v>22</v>
      </c>
      <c r="J43" s="11" t="s">
        <v>23</v>
      </c>
      <c r="K43" s="11" t="s">
        <v>23</v>
      </c>
      <c r="L43" s="13">
        <v>44907</v>
      </c>
      <c r="M43" s="13">
        <v>44908</v>
      </c>
      <c r="N43" s="11" t="s">
        <v>24</v>
      </c>
      <c r="O43" s="11" t="s">
        <v>25</v>
      </c>
      <c r="P43" s="11" t="s">
        <v>44</v>
      </c>
      <c r="Q43" s="11" t="s">
        <v>45</v>
      </c>
      <c r="R43" s="14">
        <v>5.7000000000000002E-2</v>
      </c>
      <c r="S43" s="11">
        <v>1</v>
      </c>
      <c r="T43" s="15">
        <v>333.2</v>
      </c>
      <c r="U43" s="11" t="s">
        <v>28</v>
      </c>
    </row>
    <row r="44" spans="1:21" ht="21" customHeight="1">
      <c r="A44" s="11">
        <v>43</v>
      </c>
      <c r="B44" s="11" t="s">
        <v>135</v>
      </c>
      <c r="C44" s="9" t="s">
        <v>178</v>
      </c>
      <c r="D44" s="12">
        <v>2001</v>
      </c>
      <c r="E44" s="12">
        <v>21</v>
      </c>
      <c r="F44" s="11" t="s">
        <v>32</v>
      </c>
      <c r="G44" s="11" t="s">
        <v>32</v>
      </c>
      <c r="H44" s="12">
        <v>4164</v>
      </c>
      <c r="I44" s="11" t="s">
        <v>57</v>
      </c>
      <c r="J44" s="11" t="s">
        <v>23</v>
      </c>
      <c r="K44" s="11" t="s">
        <v>23</v>
      </c>
      <c r="L44" s="13">
        <v>44908</v>
      </c>
      <c r="M44" s="13">
        <v>44911</v>
      </c>
      <c r="N44" s="11" t="s">
        <v>24</v>
      </c>
      <c r="O44" s="11" t="s">
        <v>25</v>
      </c>
      <c r="P44" s="11" t="s">
        <v>55</v>
      </c>
      <c r="Q44" s="11" t="s">
        <v>56</v>
      </c>
      <c r="R44" s="14">
        <v>4.3999999999999997E-2</v>
      </c>
      <c r="S44" s="11">
        <v>1</v>
      </c>
      <c r="T44" s="15">
        <v>56.8</v>
      </c>
      <c r="U44" s="11" t="s">
        <v>28</v>
      </c>
    </row>
    <row r="45" spans="1:21" ht="21" customHeight="1">
      <c r="A45" s="11">
        <v>44</v>
      </c>
      <c r="B45" s="11" t="s">
        <v>135</v>
      </c>
      <c r="C45" s="9" t="s">
        <v>179</v>
      </c>
      <c r="D45" s="12">
        <v>1991</v>
      </c>
      <c r="E45" s="12">
        <v>31</v>
      </c>
      <c r="F45" s="11" t="s">
        <v>21</v>
      </c>
      <c r="G45" s="11" t="s">
        <v>21</v>
      </c>
      <c r="H45" s="12">
        <v>4006</v>
      </c>
      <c r="I45" s="11" t="s">
        <v>22</v>
      </c>
      <c r="J45" s="11" t="s">
        <v>23</v>
      </c>
      <c r="K45" s="11" t="s">
        <v>23</v>
      </c>
      <c r="L45" s="13">
        <v>44919</v>
      </c>
      <c r="M45" s="13">
        <v>44923</v>
      </c>
      <c r="N45" s="11" t="s">
        <v>24</v>
      </c>
      <c r="O45" s="11" t="s">
        <v>25</v>
      </c>
      <c r="P45" s="11" t="s">
        <v>38</v>
      </c>
      <c r="Q45" s="11" t="s">
        <v>39</v>
      </c>
      <c r="R45" s="14">
        <v>5.1999999999999998E-2</v>
      </c>
      <c r="S45" s="11">
        <v>1</v>
      </c>
      <c r="T45" s="15">
        <v>104.4</v>
      </c>
      <c r="U45" s="11" t="s">
        <v>28</v>
      </c>
    </row>
    <row r="46" spans="1:21" ht="21" customHeight="1">
      <c r="A46" s="11">
        <v>45</v>
      </c>
      <c r="B46" s="11" t="s">
        <v>135</v>
      </c>
      <c r="C46" s="9" t="s">
        <v>180</v>
      </c>
      <c r="D46" s="12">
        <v>1979</v>
      </c>
      <c r="E46" s="12">
        <v>44</v>
      </c>
      <c r="F46" s="11" t="s">
        <v>32</v>
      </c>
      <c r="G46" s="11" t="s">
        <v>32</v>
      </c>
      <c r="H46" s="12">
        <v>4350</v>
      </c>
      <c r="I46" s="11" t="s">
        <v>58</v>
      </c>
      <c r="J46" s="11" t="s">
        <v>23</v>
      </c>
      <c r="K46" s="11" t="s">
        <v>23</v>
      </c>
      <c r="L46" s="13">
        <v>44958</v>
      </c>
      <c r="M46" s="13">
        <v>44961</v>
      </c>
      <c r="N46" s="11" t="s">
        <v>24</v>
      </c>
      <c r="O46" s="11" t="s">
        <v>25</v>
      </c>
      <c r="P46" s="11" t="s">
        <v>46</v>
      </c>
      <c r="Q46" s="11" t="s">
        <v>47</v>
      </c>
      <c r="R46" s="14">
        <v>0.158</v>
      </c>
      <c r="S46" s="11">
        <v>1</v>
      </c>
      <c r="T46" s="15">
        <v>66</v>
      </c>
      <c r="U46" s="11" t="s">
        <v>28</v>
      </c>
    </row>
    <row r="47" spans="1:21" ht="21" customHeight="1">
      <c r="A47" s="11">
        <v>46</v>
      </c>
      <c r="B47" s="11" t="s">
        <v>135</v>
      </c>
      <c r="C47" s="9" t="s">
        <v>181</v>
      </c>
      <c r="D47" s="12">
        <v>1980</v>
      </c>
      <c r="E47" s="12">
        <v>43</v>
      </c>
      <c r="F47" s="11" t="s">
        <v>32</v>
      </c>
      <c r="G47" s="11" t="s">
        <v>32</v>
      </c>
      <c r="H47" s="12">
        <v>4069</v>
      </c>
      <c r="I47" s="11" t="s">
        <v>22</v>
      </c>
      <c r="J47" s="11" t="s">
        <v>23</v>
      </c>
      <c r="K47" s="11" t="s">
        <v>23</v>
      </c>
      <c r="L47" s="13">
        <v>45005</v>
      </c>
      <c r="M47" s="13">
        <v>45010</v>
      </c>
      <c r="N47" s="11" t="s">
        <v>24</v>
      </c>
      <c r="O47" s="11" t="s">
        <v>25</v>
      </c>
      <c r="P47" s="11" t="s">
        <v>34</v>
      </c>
      <c r="Q47" s="11" t="s">
        <v>35</v>
      </c>
      <c r="R47" s="14">
        <v>0.17799999999999999</v>
      </c>
      <c r="S47" s="11">
        <v>1</v>
      </c>
      <c r="T47" s="15">
        <v>16.100000000000001</v>
      </c>
      <c r="U47" s="11" t="s">
        <v>28</v>
      </c>
    </row>
    <row r="48" spans="1:21" ht="21" customHeight="1">
      <c r="A48" s="11">
        <v>47</v>
      </c>
      <c r="B48" s="11" t="s">
        <v>135</v>
      </c>
      <c r="C48" s="9" t="s">
        <v>182</v>
      </c>
      <c r="D48" s="12">
        <v>1963</v>
      </c>
      <c r="E48" s="12">
        <v>60</v>
      </c>
      <c r="F48" s="11" t="s">
        <v>32</v>
      </c>
      <c r="G48" s="11" t="s">
        <v>32</v>
      </c>
      <c r="H48" s="12">
        <v>4006</v>
      </c>
      <c r="I48" s="11" t="s">
        <v>59</v>
      </c>
      <c r="J48" s="11" t="s">
        <v>23</v>
      </c>
      <c r="K48" s="11" t="s">
        <v>23</v>
      </c>
      <c r="L48" s="13">
        <v>45074</v>
      </c>
      <c r="M48" s="13">
        <v>45077</v>
      </c>
      <c r="N48" s="11" t="s">
        <v>24</v>
      </c>
      <c r="O48" s="11" t="s">
        <v>25</v>
      </c>
      <c r="P48" s="11" t="s">
        <v>26</v>
      </c>
      <c r="Q48" s="11" t="s">
        <v>27</v>
      </c>
      <c r="R48" s="14">
        <v>2.9000000000000001E-2</v>
      </c>
      <c r="S48" s="11">
        <v>1</v>
      </c>
      <c r="T48" s="15">
        <v>81.7</v>
      </c>
      <c r="U48" s="11" t="s">
        <v>28</v>
      </c>
    </row>
    <row r="49" spans="1:21" ht="21" customHeight="1">
      <c r="A49" s="11">
        <v>48</v>
      </c>
      <c r="B49" s="11" t="s">
        <v>135</v>
      </c>
      <c r="C49" s="9" t="s">
        <v>183</v>
      </c>
      <c r="D49" s="12">
        <v>1981</v>
      </c>
      <c r="E49" s="12">
        <v>42</v>
      </c>
      <c r="F49" s="11" t="s">
        <v>21</v>
      </c>
      <c r="G49" s="11" t="s">
        <v>21</v>
      </c>
      <c r="H49" s="12">
        <v>4509</v>
      </c>
      <c r="I49" s="11" t="s">
        <v>22</v>
      </c>
      <c r="J49" s="11" t="s">
        <v>23</v>
      </c>
      <c r="K49" s="11" t="s">
        <v>23</v>
      </c>
      <c r="L49" s="13">
        <v>45076</v>
      </c>
      <c r="M49" s="13">
        <v>45076</v>
      </c>
      <c r="N49" s="11" t="s">
        <v>24</v>
      </c>
      <c r="O49" s="11" t="s">
        <v>25</v>
      </c>
      <c r="P49" s="11" t="s">
        <v>34</v>
      </c>
      <c r="Q49" s="11" t="s">
        <v>35</v>
      </c>
      <c r="R49" s="14">
        <v>0.189</v>
      </c>
      <c r="S49" s="11">
        <v>1</v>
      </c>
      <c r="T49" s="15">
        <v>11.4</v>
      </c>
      <c r="U49" s="11" t="s">
        <v>28</v>
      </c>
    </row>
    <row r="50" spans="1:21" ht="21" customHeight="1">
      <c r="A50" s="11">
        <v>49</v>
      </c>
      <c r="B50" s="11" t="s">
        <v>135</v>
      </c>
      <c r="C50" s="9" t="s">
        <v>184</v>
      </c>
      <c r="D50" s="12">
        <v>1992</v>
      </c>
      <c r="E50" s="12">
        <v>31</v>
      </c>
      <c r="F50" s="11" t="s">
        <v>32</v>
      </c>
      <c r="G50" s="11" t="s">
        <v>32</v>
      </c>
      <c r="H50" s="12">
        <v>4006</v>
      </c>
      <c r="I50" s="11" t="s">
        <v>33</v>
      </c>
      <c r="J50" s="11" t="s">
        <v>23</v>
      </c>
      <c r="K50" s="11" t="s">
        <v>23</v>
      </c>
      <c r="L50" s="13">
        <v>45093</v>
      </c>
      <c r="M50" s="13">
        <v>45094</v>
      </c>
      <c r="N50" s="11" t="s">
        <v>24</v>
      </c>
      <c r="O50" s="11" t="s">
        <v>25</v>
      </c>
      <c r="P50" s="11" t="s">
        <v>40</v>
      </c>
      <c r="Q50" s="11" t="s">
        <v>41</v>
      </c>
      <c r="R50" s="14">
        <v>8.9909999999999997</v>
      </c>
      <c r="S50" s="11">
        <v>1</v>
      </c>
      <c r="T50" s="15">
        <v>51.6</v>
      </c>
      <c r="U50" s="11" t="s">
        <v>28</v>
      </c>
    </row>
    <row r="51" spans="1:21" ht="21" customHeight="1">
      <c r="A51" s="11">
        <v>50</v>
      </c>
      <c r="B51" s="11" t="s">
        <v>135</v>
      </c>
      <c r="C51" s="9" t="s">
        <v>185</v>
      </c>
      <c r="D51" s="12">
        <v>2005</v>
      </c>
      <c r="E51" s="12">
        <v>18</v>
      </c>
      <c r="F51" s="11" t="s">
        <v>21</v>
      </c>
      <c r="G51" s="11" t="s">
        <v>21</v>
      </c>
      <c r="H51" s="12">
        <v>4503</v>
      </c>
      <c r="I51" s="11" t="s">
        <v>29</v>
      </c>
      <c r="J51" s="11" t="s">
        <v>23</v>
      </c>
      <c r="K51" s="11" t="s">
        <v>23</v>
      </c>
      <c r="L51" s="13">
        <v>45101</v>
      </c>
      <c r="M51" s="13">
        <v>45104</v>
      </c>
      <c r="N51" s="11" t="s">
        <v>24</v>
      </c>
      <c r="O51" s="11" t="s">
        <v>25</v>
      </c>
      <c r="P51" s="11" t="s">
        <v>42</v>
      </c>
      <c r="Q51" s="11" t="s">
        <v>43</v>
      </c>
      <c r="R51" s="14">
        <v>3.218</v>
      </c>
      <c r="S51" s="11">
        <v>1</v>
      </c>
      <c r="T51" s="15">
        <v>40.799999999999997</v>
      </c>
      <c r="U51" s="11" t="s">
        <v>28</v>
      </c>
    </row>
    <row r="52" spans="1:21" ht="21" customHeight="1">
      <c r="A52" s="11">
        <v>51</v>
      </c>
      <c r="B52" s="11" t="s">
        <v>135</v>
      </c>
      <c r="C52" s="9" t="s">
        <v>186</v>
      </c>
      <c r="D52" s="12">
        <v>1963</v>
      </c>
      <c r="E52" s="12">
        <v>60</v>
      </c>
      <c r="F52" s="11" t="s">
        <v>32</v>
      </c>
      <c r="G52" s="11" t="s">
        <v>32</v>
      </c>
      <c r="H52" s="12">
        <v>4053</v>
      </c>
      <c r="I52" s="11" t="s">
        <v>22</v>
      </c>
      <c r="J52" s="11" t="s">
        <v>23</v>
      </c>
      <c r="K52" s="11" t="s">
        <v>23</v>
      </c>
      <c r="L52" s="13">
        <v>45102</v>
      </c>
      <c r="M52" s="13">
        <v>45109</v>
      </c>
      <c r="N52" s="11" t="s">
        <v>24</v>
      </c>
      <c r="O52" s="11" t="s">
        <v>25</v>
      </c>
      <c r="P52" s="11" t="s">
        <v>50</v>
      </c>
      <c r="Q52" s="11" t="s">
        <v>51</v>
      </c>
      <c r="R52" s="14">
        <v>2.5999999999999999E-2</v>
      </c>
      <c r="S52" s="11">
        <v>1</v>
      </c>
      <c r="T52" s="15">
        <v>43.9</v>
      </c>
      <c r="U52" s="11" t="s">
        <v>28</v>
      </c>
    </row>
    <row r="53" spans="1:21" ht="21" customHeight="1">
      <c r="A53" s="11">
        <v>52</v>
      </c>
      <c r="B53" s="11" t="s">
        <v>135</v>
      </c>
      <c r="C53" s="9" t="s">
        <v>187</v>
      </c>
      <c r="D53" s="12">
        <v>2006</v>
      </c>
      <c r="E53" s="12">
        <v>17</v>
      </c>
      <c r="F53" s="11" t="s">
        <v>32</v>
      </c>
      <c r="G53" s="11" t="s">
        <v>32</v>
      </c>
      <c r="H53" s="12">
        <v>4159</v>
      </c>
      <c r="I53" s="11" t="s">
        <v>22</v>
      </c>
      <c r="J53" s="11" t="s">
        <v>23</v>
      </c>
      <c r="K53" s="11" t="s">
        <v>23</v>
      </c>
      <c r="L53" s="13">
        <v>45129</v>
      </c>
      <c r="M53" s="13">
        <v>45131</v>
      </c>
      <c r="N53" s="11" t="s">
        <v>24</v>
      </c>
      <c r="O53" s="11" t="s">
        <v>25</v>
      </c>
      <c r="P53" s="11" t="s">
        <v>40</v>
      </c>
      <c r="Q53" s="11" t="s">
        <v>41</v>
      </c>
      <c r="R53" s="14">
        <v>11.260999999999999</v>
      </c>
      <c r="S53" s="11">
        <v>1</v>
      </c>
      <c r="T53" s="15">
        <v>94.9</v>
      </c>
      <c r="U53" s="11" t="s">
        <v>28</v>
      </c>
    </row>
    <row r="54" spans="1:21" ht="21" customHeight="1">
      <c r="A54" s="11">
        <v>53</v>
      </c>
      <c r="B54" s="11" t="s">
        <v>135</v>
      </c>
      <c r="C54" s="9" t="s">
        <v>188</v>
      </c>
      <c r="D54" s="12">
        <v>1950</v>
      </c>
      <c r="E54" s="12">
        <v>73</v>
      </c>
      <c r="F54" s="11" t="s">
        <v>32</v>
      </c>
      <c r="G54" s="11" t="s">
        <v>32</v>
      </c>
      <c r="H54" s="12">
        <v>4116</v>
      </c>
      <c r="I54" s="11" t="s">
        <v>22</v>
      </c>
      <c r="J54" s="11" t="s">
        <v>23</v>
      </c>
      <c r="K54" s="11" t="s">
        <v>23</v>
      </c>
      <c r="L54" s="13">
        <v>45157</v>
      </c>
      <c r="M54" s="13">
        <v>45157</v>
      </c>
      <c r="N54" s="11" t="s">
        <v>24</v>
      </c>
      <c r="O54" s="11" t="s">
        <v>25</v>
      </c>
      <c r="P54" s="11" t="s">
        <v>44</v>
      </c>
      <c r="Q54" s="11" t="s">
        <v>45</v>
      </c>
      <c r="R54" s="14">
        <v>8.8999999999999996E-2</v>
      </c>
      <c r="S54" s="11">
        <v>1</v>
      </c>
      <c r="T54" s="15">
        <v>42.7</v>
      </c>
      <c r="U54" s="11" t="s">
        <v>28</v>
      </c>
    </row>
    <row r="55" spans="1:21" ht="21" customHeight="1">
      <c r="A55" s="11">
        <v>54</v>
      </c>
      <c r="B55" s="11" t="s">
        <v>135</v>
      </c>
      <c r="C55" s="9" t="s">
        <v>189</v>
      </c>
      <c r="D55" s="12">
        <v>1968</v>
      </c>
      <c r="E55" s="12">
        <v>55</v>
      </c>
      <c r="F55" s="11" t="s">
        <v>32</v>
      </c>
      <c r="G55" s="11" t="s">
        <v>32</v>
      </c>
      <c r="H55" s="12">
        <v>4122</v>
      </c>
      <c r="I55" s="11" t="s">
        <v>29</v>
      </c>
      <c r="J55" s="11" t="s">
        <v>23</v>
      </c>
      <c r="K55" s="11" t="s">
        <v>23</v>
      </c>
      <c r="L55" s="13">
        <v>45165</v>
      </c>
      <c r="M55" s="13">
        <v>45169</v>
      </c>
      <c r="N55" s="11" t="s">
        <v>24</v>
      </c>
      <c r="O55" s="11" t="s">
        <v>25</v>
      </c>
      <c r="P55" s="11" t="s">
        <v>52</v>
      </c>
      <c r="Q55" s="11" t="s">
        <v>53</v>
      </c>
      <c r="R55" s="14">
        <v>8.6999999999999994E-2</v>
      </c>
      <c r="S55" s="11">
        <v>1</v>
      </c>
      <c r="T55" s="15">
        <v>191.8</v>
      </c>
      <c r="U55" s="11" t="s">
        <v>28</v>
      </c>
    </row>
    <row r="56" spans="1:21" ht="21" customHeight="1">
      <c r="A56" s="11">
        <v>55</v>
      </c>
      <c r="B56" s="11" t="s">
        <v>135</v>
      </c>
      <c r="C56" s="9" t="s">
        <v>190</v>
      </c>
      <c r="D56" s="12">
        <v>1972</v>
      </c>
      <c r="E56" s="12">
        <v>51</v>
      </c>
      <c r="F56" s="11" t="s">
        <v>21</v>
      </c>
      <c r="G56" s="11" t="s">
        <v>21</v>
      </c>
      <c r="H56" s="12">
        <v>4017</v>
      </c>
      <c r="I56" s="11" t="s">
        <v>22</v>
      </c>
      <c r="J56" s="11" t="s">
        <v>23</v>
      </c>
      <c r="K56" s="11" t="s">
        <v>23</v>
      </c>
      <c r="L56" s="13">
        <v>45169</v>
      </c>
      <c r="M56" s="13">
        <v>45169</v>
      </c>
      <c r="N56" s="11" t="s">
        <v>24</v>
      </c>
      <c r="O56" s="11" t="s">
        <v>25</v>
      </c>
      <c r="P56" s="11" t="s">
        <v>55</v>
      </c>
      <c r="Q56" s="11" t="s">
        <v>56</v>
      </c>
      <c r="R56" s="14">
        <v>0.03</v>
      </c>
      <c r="S56" s="11">
        <v>1</v>
      </c>
      <c r="T56" s="15">
        <v>126.7</v>
      </c>
      <c r="U56" s="11" t="s">
        <v>28</v>
      </c>
    </row>
    <row r="57" spans="1:21" ht="21" customHeight="1">
      <c r="A57" s="11">
        <v>56</v>
      </c>
      <c r="B57" s="11" t="s">
        <v>135</v>
      </c>
      <c r="C57" s="9" t="s">
        <v>191</v>
      </c>
      <c r="D57" s="12">
        <v>1987</v>
      </c>
      <c r="E57" s="12">
        <v>36</v>
      </c>
      <c r="F57" s="11" t="s">
        <v>21</v>
      </c>
      <c r="G57" s="11" t="s">
        <v>21</v>
      </c>
      <c r="H57" s="12">
        <v>4006</v>
      </c>
      <c r="I57" s="11" t="s">
        <v>60</v>
      </c>
      <c r="J57" s="11" t="s">
        <v>23</v>
      </c>
      <c r="K57" s="11" t="s">
        <v>23</v>
      </c>
      <c r="L57" s="13">
        <v>45210</v>
      </c>
      <c r="M57" s="13">
        <v>45217</v>
      </c>
      <c r="N57" s="11" t="s">
        <v>24</v>
      </c>
      <c r="O57" s="11" t="s">
        <v>25</v>
      </c>
      <c r="P57" s="11" t="s">
        <v>46</v>
      </c>
      <c r="Q57" s="11" t="s">
        <v>47</v>
      </c>
      <c r="R57" s="14">
        <v>0.05</v>
      </c>
      <c r="S57" s="11">
        <v>1</v>
      </c>
      <c r="T57" s="15">
        <v>32.4</v>
      </c>
      <c r="U57" s="11" t="s">
        <v>28</v>
      </c>
    </row>
    <row r="58" spans="1:21" ht="21" customHeight="1">
      <c r="A58" s="11">
        <v>57</v>
      </c>
      <c r="B58" s="11" t="s">
        <v>135</v>
      </c>
      <c r="C58" s="9" t="s">
        <v>192</v>
      </c>
      <c r="D58" s="12">
        <v>1940</v>
      </c>
      <c r="E58" s="12">
        <v>83</v>
      </c>
      <c r="F58" s="11" t="s">
        <v>32</v>
      </c>
      <c r="G58" s="11" t="s">
        <v>32</v>
      </c>
      <c r="H58" s="12">
        <v>4017</v>
      </c>
      <c r="I58" s="11" t="s">
        <v>29</v>
      </c>
      <c r="J58" s="11" t="s">
        <v>23</v>
      </c>
      <c r="K58" s="11" t="s">
        <v>23</v>
      </c>
      <c r="L58" s="13">
        <v>45251</v>
      </c>
      <c r="M58" s="13">
        <v>45253</v>
      </c>
      <c r="N58" s="11" t="s">
        <v>24</v>
      </c>
      <c r="O58" s="11" t="s">
        <v>25</v>
      </c>
      <c r="P58" s="11" t="s">
        <v>55</v>
      </c>
      <c r="Q58" s="11" t="s">
        <v>56</v>
      </c>
      <c r="R58" s="14">
        <v>5.2999999999999999E-2</v>
      </c>
      <c r="S58" s="11">
        <v>1</v>
      </c>
      <c r="T58" s="15">
        <v>10.199999999999999</v>
      </c>
      <c r="U58" s="11" t="s">
        <v>28</v>
      </c>
    </row>
    <row r="59" spans="1:21" ht="21" customHeight="1">
      <c r="A59" s="11">
        <v>58</v>
      </c>
      <c r="B59" s="11" t="s">
        <v>135</v>
      </c>
      <c r="C59" s="9" t="s">
        <v>193</v>
      </c>
      <c r="D59" s="12">
        <v>2009</v>
      </c>
      <c r="E59" s="12">
        <v>14</v>
      </c>
      <c r="F59" s="11" t="s">
        <v>21</v>
      </c>
      <c r="G59" s="11" t="s">
        <v>21</v>
      </c>
      <c r="H59" s="12">
        <v>4810</v>
      </c>
      <c r="I59" s="11" t="s">
        <v>57</v>
      </c>
      <c r="J59" s="11" t="s">
        <v>23</v>
      </c>
      <c r="K59" s="11" t="s">
        <v>23</v>
      </c>
      <c r="L59" s="13">
        <v>45259</v>
      </c>
      <c r="M59" s="13">
        <v>45259</v>
      </c>
      <c r="N59" s="11" t="s">
        <v>24</v>
      </c>
      <c r="O59" s="11" t="s">
        <v>25</v>
      </c>
      <c r="P59" s="11" t="s">
        <v>42</v>
      </c>
      <c r="Q59" s="11" t="s">
        <v>43</v>
      </c>
      <c r="R59" s="14">
        <v>3.4000000000000002E-2</v>
      </c>
      <c r="S59" s="11">
        <v>1</v>
      </c>
      <c r="T59" s="15">
        <v>6.2</v>
      </c>
      <c r="U59" s="11" t="s">
        <v>28</v>
      </c>
    </row>
    <row r="60" spans="1:21" ht="21" customHeight="1">
      <c r="A60" s="11">
        <v>59</v>
      </c>
      <c r="B60" s="11" t="s">
        <v>135</v>
      </c>
      <c r="C60" s="9" t="s">
        <v>194</v>
      </c>
      <c r="D60" s="12">
        <v>2009</v>
      </c>
      <c r="E60" s="12">
        <v>14</v>
      </c>
      <c r="F60" s="11" t="s">
        <v>21</v>
      </c>
      <c r="G60" s="11" t="s">
        <v>21</v>
      </c>
      <c r="H60" s="12">
        <v>4810</v>
      </c>
      <c r="I60" s="11" t="s">
        <v>57</v>
      </c>
      <c r="J60" s="11" t="s">
        <v>23</v>
      </c>
      <c r="K60" s="11" t="s">
        <v>23</v>
      </c>
      <c r="L60" s="13">
        <v>45259</v>
      </c>
      <c r="M60" s="13">
        <v>45259</v>
      </c>
      <c r="N60" s="11" t="s">
        <v>24</v>
      </c>
      <c r="O60" s="11" t="s">
        <v>25</v>
      </c>
      <c r="P60" s="11" t="s">
        <v>36</v>
      </c>
      <c r="Q60" s="11" t="s">
        <v>37</v>
      </c>
      <c r="R60" s="14">
        <v>0.13300000000000001</v>
      </c>
      <c r="S60" s="11">
        <v>1</v>
      </c>
      <c r="T60" s="15">
        <v>6.2</v>
      </c>
      <c r="U60" s="11" t="s">
        <v>28</v>
      </c>
    </row>
    <row r="61" spans="1:21" ht="21" customHeight="1">
      <c r="A61" s="11">
        <v>60</v>
      </c>
      <c r="B61" s="11" t="s">
        <v>135</v>
      </c>
      <c r="C61" s="9" t="s">
        <v>195</v>
      </c>
      <c r="D61" s="12">
        <v>2001</v>
      </c>
      <c r="E61" s="12">
        <v>23</v>
      </c>
      <c r="F61" s="11" t="s">
        <v>32</v>
      </c>
      <c r="G61" s="11" t="s">
        <v>32</v>
      </c>
      <c r="H61" s="12">
        <v>4503</v>
      </c>
      <c r="I61" s="11" t="s">
        <v>22</v>
      </c>
      <c r="J61" s="11" t="s">
        <v>23</v>
      </c>
      <c r="K61" s="11" t="s">
        <v>23</v>
      </c>
      <c r="L61" s="13">
        <v>45355</v>
      </c>
      <c r="M61" s="13">
        <v>45362</v>
      </c>
      <c r="N61" s="11" t="s">
        <v>24</v>
      </c>
      <c r="O61" s="11" t="s">
        <v>25</v>
      </c>
      <c r="P61" s="11" t="s">
        <v>55</v>
      </c>
      <c r="Q61" s="11" t="s">
        <v>56</v>
      </c>
      <c r="R61" s="14">
        <v>4.6360000000000001</v>
      </c>
      <c r="S61" s="11">
        <v>1</v>
      </c>
      <c r="T61" s="15">
        <v>81.7</v>
      </c>
      <c r="U61" s="11" t="s">
        <v>28</v>
      </c>
    </row>
    <row r="62" spans="1:21" ht="21" customHeight="1">
      <c r="A62" s="11">
        <v>61</v>
      </c>
      <c r="B62" s="11" t="s">
        <v>135</v>
      </c>
      <c r="C62" s="9" t="s">
        <v>196</v>
      </c>
      <c r="D62" s="12">
        <v>1971</v>
      </c>
      <c r="E62" s="12">
        <v>53</v>
      </c>
      <c r="F62" s="11" t="s">
        <v>21</v>
      </c>
      <c r="G62" s="11" t="s">
        <v>21</v>
      </c>
      <c r="H62" s="12">
        <v>4163</v>
      </c>
      <c r="I62" s="11" t="s">
        <v>22</v>
      </c>
      <c r="J62" s="11" t="s">
        <v>23</v>
      </c>
      <c r="K62" s="11" t="s">
        <v>23</v>
      </c>
      <c r="L62" s="13">
        <v>45363</v>
      </c>
      <c r="M62" s="13">
        <v>45366</v>
      </c>
      <c r="N62" s="11" t="s">
        <v>24</v>
      </c>
      <c r="O62" s="11" t="s">
        <v>25</v>
      </c>
      <c r="P62" s="11" t="s">
        <v>40</v>
      </c>
      <c r="Q62" s="11" t="s">
        <v>41</v>
      </c>
      <c r="R62" s="14">
        <v>8.843</v>
      </c>
      <c r="S62" s="11">
        <v>1</v>
      </c>
      <c r="T62" s="15">
        <v>47.9</v>
      </c>
      <c r="U62" s="11" t="s">
        <v>28</v>
      </c>
    </row>
    <row r="63" spans="1:21" ht="21" customHeight="1">
      <c r="A63" s="11">
        <v>62</v>
      </c>
      <c r="B63" s="11" t="s">
        <v>135</v>
      </c>
      <c r="C63" s="9" t="s">
        <v>197</v>
      </c>
      <c r="D63" s="12">
        <v>1970</v>
      </c>
      <c r="E63" s="12">
        <v>54</v>
      </c>
      <c r="F63" s="11" t="s">
        <v>21</v>
      </c>
      <c r="G63" s="11" t="s">
        <v>21</v>
      </c>
      <c r="H63" s="12">
        <v>4509</v>
      </c>
      <c r="I63" s="11" t="s">
        <v>22</v>
      </c>
      <c r="J63" s="11" t="s">
        <v>23</v>
      </c>
      <c r="K63" s="11" t="s">
        <v>23</v>
      </c>
      <c r="L63" s="13">
        <v>45405</v>
      </c>
      <c r="M63" s="13">
        <v>45410</v>
      </c>
      <c r="N63" s="11" t="s">
        <v>24</v>
      </c>
      <c r="O63" s="11" t="s">
        <v>25</v>
      </c>
      <c r="P63" s="11" t="s">
        <v>42</v>
      </c>
      <c r="Q63" s="11" t="s">
        <v>43</v>
      </c>
      <c r="R63" s="14">
        <v>2.1999999999999999E-2</v>
      </c>
      <c r="S63" s="11">
        <v>1</v>
      </c>
      <c r="T63" s="15">
        <v>144.6</v>
      </c>
      <c r="U63" s="11" t="s">
        <v>28</v>
      </c>
    </row>
    <row r="64" spans="1:21" ht="21" customHeight="1">
      <c r="A64" s="11">
        <v>63</v>
      </c>
      <c r="B64" s="11" t="s">
        <v>135</v>
      </c>
      <c r="C64" s="9" t="s">
        <v>198</v>
      </c>
      <c r="D64" s="12">
        <v>1963</v>
      </c>
      <c r="E64" s="12">
        <v>61</v>
      </c>
      <c r="F64" s="11" t="s">
        <v>21</v>
      </c>
      <c r="G64" s="11" t="s">
        <v>21</v>
      </c>
      <c r="H64" s="12">
        <v>4114</v>
      </c>
      <c r="I64" s="11" t="s">
        <v>22</v>
      </c>
      <c r="J64" s="11" t="s">
        <v>23</v>
      </c>
      <c r="K64" s="11" t="s">
        <v>23</v>
      </c>
      <c r="L64" s="13">
        <v>45423</v>
      </c>
      <c r="M64" s="13">
        <v>45426</v>
      </c>
      <c r="N64" s="11" t="s">
        <v>24</v>
      </c>
      <c r="O64" s="11" t="s">
        <v>25</v>
      </c>
      <c r="P64" s="11" t="s">
        <v>42</v>
      </c>
      <c r="Q64" s="11" t="s">
        <v>43</v>
      </c>
      <c r="R64" s="14">
        <v>1.1299999999999999</v>
      </c>
      <c r="S64" s="11">
        <v>1</v>
      </c>
      <c r="T64" s="15">
        <v>19.7</v>
      </c>
      <c r="U64" s="11" t="s">
        <v>28</v>
      </c>
    </row>
    <row r="65" spans="1:21" ht="21" customHeight="1">
      <c r="A65" s="11">
        <v>64</v>
      </c>
      <c r="B65" s="11" t="s">
        <v>135</v>
      </c>
      <c r="C65" s="9" t="s">
        <v>199</v>
      </c>
      <c r="D65" s="12">
        <v>2001</v>
      </c>
      <c r="E65" s="12">
        <v>23</v>
      </c>
      <c r="F65" s="11" t="s">
        <v>21</v>
      </c>
      <c r="G65" s="11" t="s">
        <v>21</v>
      </c>
      <c r="H65" s="12">
        <v>4112</v>
      </c>
      <c r="I65" s="11" t="s">
        <v>22</v>
      </c>
      <c r="J65" s="11" t="s">
        <v>23</v>
      </c>
      <c r="K65" s="11" t="s">
        <v>23</v>
      </c>
      <c r="L65" s="13">
        <v>45447</v>
      </c>
      <c r="M65" s="13">
        <v>45451</v>
      </c>
      <c r="N65" s="11" t="s">
        <v>24</v>
      </c>
      <c r="O65" s="11" t="s">
        <v>25</v>
      </c>
      <c r="P65" s="11" t="s">
        <v>36</v>
      </c>
      <c r="Q65" s="11" t="s">
        <v>37</v>
      </c>
      <c r="R65" s="14">
        <v>3.1720000000000002</v>
      </c>
      <c r="S65" s="11">
        <v>1</v>
      </c>
      <c r="T65" s="15">
        <v>38.700000000000003</v>
      </c>
      <c r="U65" s="11" t="s">
        <v>28</v>
      </c>
    </row>
    <row r="66" spans="1:21" ht="21" customHeight="1">
      <c r="A66" s="11">
        <v>65</v>
      </c>
      <c r="B66" s="11" t="s">
        <v>135</v>
      </c>
      <c r="C66" s="9" t="s">
        <v>200</v>
      </c>
      <c r="D66" s="12">
        <v>1965</v>
      </c>
      <c r="E66" s="12">
        <v>59</v>
      </c>
      <c r="F66" s="11" t="s">
        <v>32</v>
      </c>
      <c r="G66" s="11" t="s">
        <v>32</v>
      </c>
      <c r="H66" s="12">
        <v>4075</v>
      </c>
      <c r="I66" s="11" t="s">
        <v>60</v>
      </c>
      <c r="J66" s="11" t="s">
        <v>23</v>
      </c>
      <c r="K66" s="11" t="s">
        <v>23</v>
      </c>
      <c r="L66" s="13">
        <v>45455</v>
      </c>
      <c r="M66" s="13">
        <v>45456</v>
      </c>
      <c r="N66" s="11" t="s">
        <v>24</v>
      </c>
      <c r="O66" s="11" t="s">
        <v>25</v>
      </c>
      <c r="P66" s="11" t="s">
        <v>52</v>
      </c>
      <c r="Q66" s="11" t="s">
        <v>53</v>
      </c>
      <c r="R66" s="14">
        <v>1.9E-2</v>
      </c>
      <c r="S66" s="11">
        <v>1</v>
      </c>
      <c r="T66" s="15">
        <v>101.7</v>
      </c>
      <c r="U66" s="11" t="s">
        <v>28</v>
      </c>
    </row>
    <row r="67" spans="1:21" ht="21" customHeight="1">
      <c r="A67" s="11">
        <v>66</v>
      </c>
      <c r="B67" s="11" t="s">
        <v>135</v>
      </c>
      <c r="C67" s="9" t="s">
        <v>201</v>
      </c>
      <c r="D67" s="12">
        <v>1983</v>
      </c>
      <c r="E67" s="12">
        <v>41</v>
      </c>
      <c r="F67" s="11" t="s">
        <v>32</v>
      </c>
      <c r="G67" s="11" t="s">
        <v>32</v>
      </c>
      <c r="H67" s="12">
        <v>4700</v>
      </c>
      <c r="I67" s="11" t="s">
        <v>22</v>
      </c>
      <c r="J67" s="11" t="s">
        <v>23</v>
      </c>
      <c r="K67" s="11" t="s">
        <v>23</v>
      </c>
      <c r="L67" s="13">
        <v>45462</v>
      </c>
      <c r="M67" s="13">
        <v>45463</v>
      </c>
      <c r="N67" s="11" t="s">
        <v>24</v>
      </c>
      <c r="O67" s="11" t="s">
        <v>25</v>
      </c>
      <c r="P67" s="11" t="s">
        <v>50</v>
      </c>
      <c r="Q67" s="11" t="s">
        <v>51</v>
      </c>
      <c r="R67" s="14">
        <v>2.7E-2</v>
      </c>
      <c r="S67" s="11">
        <v>1</v>
      </c>
      <c r="T67" s="15">
        <v>86.3</v>
      </c>
      <c r="U67" s="11" t="s">
        <v>28</v>
      </c>
    </row>
    <row r="68" spans="1:21" ht="21" customHeight="1">
      <c r="A68" s="11">
        <v>67</v>
      </c>
      <c r="B68" s="11" t="s">
        <v>135</v>
      </c>
      <c r="C68" s="9" t="s">
        <v>202</v>
      </c>
      <c r="D68" s="12">
        <v>1974</v>
      </c>
      <c r="E68" s="12">
        <v>50</v>
      </c>
      <c r="F68" s="11" t="s">
        <v>21</v>
      </c>
      <c r="G68" s="11" t="s">
        <v>21</v>
      </c>
      <c r="H68" s="12">
        <v>4112</v>
      </c>
      <c r="I68" s="11" t="s">
        <v>33</v>
      </c>
      <c r="J68" s="11" t="s">
        <v>23</v>
      </c>
      <c r="K68" s="11" t="s">
        <v>23</v>
      </c>
      <c r="L68" s="13">
        <v>45472</v>
      </c>
      <c r="M68" s="13">
        <v>45475</v>
      </c>
      <c r="N68" s="11" t="s">
        <v>24</v>
      </c>
      <c r="O68" s="11" t="s">
        <v>25</v>
      </c>
      <c r="P68" s="11" t="s">
        <v>52</v>
      </c>
      <c r="Q68" s="11" t="s">
        <v>53</v>
      </c>
      <c r="R68" s="14">
        <v>5.633</v>
      </c>
      <c r="S68" s="11">
        <v>1</v>
      </c>
      <c r="T68" s="15">
        <v>74.099999999999994</v>
      </c>
      <c r="U68" s="11" t="s">
        <v>28</v>
      </c>
    </row>
    <row r="69" spans="1:21" ht="21" customHeight="1">
      <c r="A69" s="11">
        <v>68</v>
      </c>
      <c r="B69" s="11" t="s">
        <v>135</v>
      </c>
      <c r="C69" s="9" t="s">
        <v>203</v>
      </c>
      <c r="D69" s="12">
        <v>1985</v>
      </c>
      <c r="E69" s="12">
        <v>39</v>
      </c>
      <c r="F69" s="11" t="s">
        <v>32</v>
      </c>
      <c r="G69" s="11" t="s">
        <v>32</v>
      </c>
      <c r="H69" s="12">
        <v>4164</v>
      </c>
      <c r="I69" s="11" t="s">
        <v>22</v>
      </c>
      <c r="J69" s="11" t="s">
        <v>23</v>
      </c>
      <c r="K69" s="11" t="s">
        <v>23</v>
      </c>
      <c r="L69" s="13">
        <v>45547</v>
      </c>
      <c r="M69" s="13">
        <v>45554</v>
      </c>
      <c r="N69" s="11" t="s">
        <v>24</v>
      </c>
      <c r="O69" s="11" t="s">
        <v>25</v>
      </c>
      <c r="P69" s="11" t="s">
        <v>30</v>
      </c>
      <c r="Q69" s="11" t="s">
        <v>31</v>
      </c>
      <c r="R69" s="14">
        <v>0.153</v>
      </c>
      <c r="S69" s="11">
        <v>1</v>
      </c>
      <c r="T69" s="15">
        <v>341</v>
      </c>
      <c r="U69" s="11" t="s">
        <v>28</v>
      </c>
    </row>
    <row r="70" spans="1:21" ht="21" customHeight="1">
      <c r="A70" s="11">
        <v>69</v>
      </c>
      <c r="B70" s="11" t="s">
        <v>135</v>
      </c>
      <c r="C70" s="9" t="s">
        <v>204</v>
      </c>
      <c r="D70" s="12">
        <v>2008</v>
      </c>
      <c r="E70" s="12">
        <v>16</v>
      </c>
      <c r="F70" s="11" t="s">
        <v>32</v>
      </c>
      <c r="G70" s="11" t="s">
        <v>32</v>
      </c>
      <c r="H70" s="12">
        <v>4018</v>
      </c>
      <c r="I70" s="11" t="s">
        <v>22</v>
      </c>
      <c r="J70" s="11" t="s">
        <v>23</v>
      </c>
      <c r="K70" s="11" t="s">
        <v>23</v>
      </c>
      <c r="L70" s="13">
        <v>45554</v>
      </c>
      <c r="M70" s="13">
        <v>45558</v>
      </c>
      <c r="N70" s="11" t="s">
        <v>24</v>
      </c>
      <c r="O70" s="11" t="s">
        <v>25</v>
      </c>
      <c r="P70" s="11" t="s">
        <v>30</v>
      </c>
      <c r="Q70" s="11" t="s">
        <v>31</v>
      </c>
      <c r="R70" s="14">
        <v>0.06</v>
      </c>
      <c r="S70" s="11">
        <v>1</v>
      </c>
      <c r="T70" s="15">
        <v>41.4</v>
      </c>
      <c r="U70" s="11" t="s">
        <v>28</v>
      </c>
    </row>
    <row r="71" spans="1:21" ht="21" customHeight="1">
      <c r="A71" s="11">
        <v>70</v>
      </c>
      <c r="B71" s="11" t="s">
        <v>135</v>
      </c>
      <c r="C71" s="9" t="s">
        <v>205</v>
      </c>
      <c r="D71" s="12">
        <v>1940</v>
      </c>
      <c r="E71" s="12">
        <v>84</v>
      </c>
      <c r="F71" s="11" t="s">
        <v>32</v>
      </c>
      <c r="G71" s="11" t="s">
        <v>32</v>
      </c>
      <c r="H71" s="12">
        <v>4109</v>
      </c>
      <c r="I71" s="11" t="s">
        <v>22</v>
      </c>
      <c r="J71" s="11" t="s">
        <v>23</v>
      </c>
      <c r="K71" s="11" t="s">
        <v>23</v>
      </c>
      <c r="L71" s="13">
        <v>45578</v>
      </c>
      <c r="M71" s="13">
        <v>45581</v>
      </c>
      <c r="N71" s="11" t="s">
        <v>24</v>
      </c>
      <c r="O71" s="11" t="s">
        <v>25</v>
      </c>
      <c r="P71" s="11" t="s">
        <v>46</v>
      </c>
      <c r="Q71" s="11" t="s">
        <v>47</v>
      </c>
      <c r="R71" s="14">
        <v>5.7000000000000002E-2</v>
      </c>
      <c r="S71" s="11">
        <v>1</v>
      </c>
      <c r="T71" s="15">
        <v>41.6</v>
      </c>
      <c r="U71" s="11" t="s">
        <v>28</v>
      </c>
    </row>
    <row r="72" spans="1:21" ht="21" customHeight="1">
      <c r="A72" s="11">
        <v>71</v>
      </c>
      <c r="B72" s="11" t="s">
        <v>135</v>
      </c>
      <c r="C72" s="9" t="s">
        <v>206</v>
      </c>
      <c r="D72" s="12">
        <v>2011</v>
      </c>
      <c r="E72" s="12">
        <v>13</v>
      </c>
      <c r="F72" s="11" t="s">
        <v>32</v>
      </c>
      <c r="G72" s="11" t="s">
        <v>32</v>
      </c>
      <c r="H72" s="12">
        <v>4005</v>
      </c>
      <c r="I72" s="11" t="s">
        <v>22</v>
      </c>
      <c r="J72" s="11" t="s">
        <v>23</v>
      </c>
      <c r="K72" s="11" t="s">
        <v>23</v>
      </c>
      <c r="L72" s="13">
        <v>45585</v>
      </c>
      <c r="M72" s="13">
        <v>45587</v>
      </c>
      <c r="N72" s="11" t="s">
        <v>24</v>
      </c>
      <c r="O72" s="11" t="s">
        <v>25</v>
      </c>
      <c r="P72" s="11" t="s">
        <v>30</v>
      </c>
      <c r="Q72" s="11" t="s">
        <v>31</v>
      </c>
      <c r="R72" s="14">
        <v>6.3E-2</v>
      </c>
      <c r="S72" s="11">
        <v>1</v>
      </c>
      <c r="T72" s="15">
        <v>431.9</v>
      </c>
      <c r="U72" s="11" t="s">
        <v>28</v>
      </c>
    </row>
    <row r="73" spans="1:21" ht="21" customHeight="1">
      <c r="A73" s="11">
        <v>72</v>
      </c>
      <c r="B73" s="11" t="s">
        <v>135</v>
      </c>
      <c r="C73" s="9" t="s">
        <v>207</v>
      </c>
      <c r="D73" s="12">
        <v>1998</v>
      </c>
      <c r="E73" s="12">
        <v>26</v>
      </c>
      <c r="F73" s="11" t="s">
        <v>32</v>
      </c>
      <c r="G73" s="11" t="s">
        <v>32</v>
      </c>
      <c r="H73" s="12">
        <v>4059</v>
      </c>
      <c r="I73" s="11" t="s">
        <v>22</v>
      </c>
      <c r="J73" s="11" t="s">
        <v>23</v>
      </c>
      <c r="K73" s="11" t="s">
        <v>23</v>
      </c>
      <c r="L73" s="13">
        <v>45633</v>
      </c>
      <c r="M73" s="13">
        <v>45639</v>
      </c>
      <c r="N73" s="11" t="s">
        <v>24</v>
      </c>
      <c r="O73" s="11" t="s">
        <v>25</v>
      </c>
      <c r="P73" s="11" t="s">
        <v>48</v>
      </c>
      <c r="Q73" s="11" t="s">
        <v>49</v>
      </c>
      <c r="R73" s="14">
        <v>2.4E-2</v>
      </c>
      <c r="S73" s="11">
        <v>1</v>
      </c>
      <c r="T73" s="15">
        <v>320.39999999999998</v>
      </c>
      <c r="U73" s="11" t="s">
        <v>28</v>
      </c>
    </row>
    <row r="74" spans="1:21" ht="21" customHeight="1">
      <c r="A74" s="11">
        <v>73</v>
      </c>
      <c r="B74" s="11" t="s">
        <v>135</v>
      </c>
      <c r="C74" s="9" t="s">
        <v>208</v>
      </c>
      <c r="D74" s="12">
        <v>1987</v>
      </c>
      <c r="E74" s="12">
        <v>37</v>
      </c>
      <c r="F74" s="11" t="s">
        <v>21</v>
      </c>
      <c r="G74" s="11" t="s">
        <v>21</v>
      </c>
      <c r="H74" s="12">
        <v>4159</v>
      </c>
      <c r="I74" s="11" t="s">
        <v>22</v>
      </c>
      <c r="J74" s="11" t="s">
        <v>23</v>
      </c>
      <c r="K74" s="11" t="s">
        <v>23</v>
      </c>
      <c r="L74" s="13">
        <v>45641</v>
      </c>
      <c r="M74" s="13">
        <v>45643</v>
      </c>
      <c r="N74" s="11" t="s">
        <v>24</v>
      </c>
      <c r="O74" s="11" t="s">
        <v>25</v>
      </c>
      <c r="P74" s="11" t="s">
        <v>34</v>
      </c>
      <c r="Q74" s="11" t="s">
        <v>35</v>
      </c>
      <c r="R74" s="14">
        <v>0.03</v>
      </c>
      <c r="S74" s="11">
        <v>1</v>
      </c>
      <c r="T74" s="15">
        <v>43.4</v>
      </c>
      <c r="U74" s="11" t="s">
        <v>28</v>
      </c>
    </row>
    <row r="75" spans="1:21" ht="21" customHeight="1">
      <c r="A75" s="11">
        <v>74</v>
      </c>
      <c r="B75" s="11" t="s">
        <v>135</v>
      </c>
      <c r="C75" s="9" t="s">
        <v>209</v>
      </c>
      <c r="D75" s="12">
        <v>1979</v>
      </c>
      <c r="E75" s="12">
        <v>45</v>
      </c>
      <c r="F75" s="11" t="s">
        <v>32</v>
      </c>
      <c r="G75" s="11" t="s">
        <v>32</v>
      </c>
      <c r="H75" s="12">
        <v>4500</v>
      </c>
      <c r="I75" s="11" t="s">
        <v>22</v>
      </c>
      <c r="J75" s="11" t="s">
        <v>23</v>
      </c>
      <c r="K75" s="11" t="s">
        <v>23</v>
      </c>
      <c r="L75" s="13">
        <v>45645</v>
      </c>
      <c r="M75" s="13">
        <v>45650</v>
      </c>
      <c r="N75" s="11" t="s">
        <v>24</v>
      </c>
      <c r="O75" s="11" t="s">
        <v>25</v>
      </c>
      <c r="P75" s="11" t="s">
        <v>40</v>
      </c>
      <c r="Q75" s="11" t="s">
        <v>41</v>
      </c>
      <c r="R75" s="14">
        <v>38.341000000000001</v>
      </c>
      <c r="S75" s="11">
        <v>1</v>
      </c>
      <c r="T75" s="15">
        <v>104.7</v>
      </c>
      <c r="U75" s="11" t="s">
        <v>28</v>
      </c>
    </row>
    <row r="76" spans="1:21" ht="21" customHeight="1">
      <c r="A76" s="11">
        <v>75</v>
      </c>
      <c r="B76" s="11" t="s">
        <v>135</v>
      </c>
      <c r="C76" s="9" t="s">
        <v>210</v>
      </c>
      <c r="D76" s="12">
        <v>1979</v>
      </c>
      <c r="E76" s="12">
        <v>45</v>
      </c>
      <c r="F76" s="11" t="s">
        <v>32</v>
      </c>
      <c r="G76" s="11" t="s">
        <v>32</v>
      </c>
      <c r="H76" s="12">
        <v>4500</v>
      </c>
      <c r="I76" s="11" t="s">
        <v>22</v>
      </c>
      <c r="J76" s="11" t="s">
        <v>23</v>
      </c>
      <c r="K76" s="11" t="s">
        <v>23</v>
      </c>
      <c r="L76" s="13">
        <v>45645</v>
      </c>
      <c r="M76" s="13">
        <v>45650</v>
      </c>
      <c r="N76" s="11" t="s">
        <v>24</v>
      </c>
      <c r="O76" s="11" t="s">
        <v>25</v>
      </c>
      <c r="P76" s="11" t="s">
        <v>46</v>
      </c>
      <c r="Q76" s="11" t="s">
        <v>47</v>
      </c>
      <c r="R76" s="14">
        <v>0.113</v>
      </c>
      <c r="S76" s="11">
        <v>1</v>
      </c>
      <c r="T76" s="15">
        <v>104.7</v>
      </c>
      <c r="U76" s="11" t="s">
        <v>28</v>
      </c>
    </row>
    <row r="77" spans="1:21" ht="21" customHeight="1">
      <c r="A77" s="11">
        <v>76</v>
      </c>
      <c r="B77" s="11" t="s">
        <v>135</v>
      </c>
      <c r="C77" s="9" t="s">
        <v>211</v>
      </c>
      <c r="D77" s="12">
        <v>1939</v>
      </c>
      <c r="E77" s="12">
        <v>85</v>
      </c>
      <c r="F77" s="11" t="s">
        <v>21</v>
      </c>
      <c r="G77" s="11" t="s">
        <v>21</v>
      </c>
      <c r="H77" s="12">
        <v>4017</v>
      </c>
      <c r="I77" s="11" t="s">
        <v>22</v>
      </c>
      <c r="J77" s="11" t="s">
        <v>23</v>
      </c>
      <c r="K77" s="11" t="s">
        <v>23</v>
      </c>
      <c r="L77" s="13">
        <v>45645</v>
      </c>
      <c r="M77" s="13">
        <v>45647</v>
      </c>
      <c r="N77" s="11" t="s">
        <v>24</v>
      </c>
      <c r="O77" s="11" t="s">
        <v>25</v>
      </c>
      <c r="P77" s="11" t="s">
        <v>38</v>
      </c>
      <c r="Q77" s="11" t="s">
        <v>39</v>
      </c>
      <c r="R77" s="14">
        <v>0.754</v>
      </c>
      <c r="S77" s="11">
        <v>1</v>
      </c>
      <c r="T77" s="15">
        <v>31.2</v>
      </c>
      <c r="U77" s="11" t="s">
        <v>28</v>
      </c>
    </row>
    <row r="78" spans="1:21" ht="21" customHeight="1">
      <c r="A78" s="11">
        <v>77</v>
      </c>
      <c r="B78" s="11" t="s">
        <v>135</v>
      </c>
      <c r="C78" s="9" t="s">
        <v>212</v>
      </c>
      <c r="D78" s="12">
        <v>1944</v>
      </c>
      <c r="E78" s="12">
        <v>81</v>
      </c>
      <c r="F78" s="11" t="s">
        <v>21</v>
      </c>
      <c r="G78" s="11" t="s">
        <v>21</v>
      </c>
      <c r="H78" s="12">
        <v>4700</v>
      </c>
      <c r="I78" s="11" t="s">
        <v>22</v>
      </c>
      <c r="J78" s="11" t="s">
        <v>23</v>
      </c>
      <c r="K78" s="11" t="s">
        <v>23</v>
      </c>
      <c r="L78" s="13">
        <v>45726</v>
      </c>
      <c r="M78" s="13">
        <v>45728</v>
      </c>
      <c r="N78" s="11" t="s">
        <v>24</v>
      </c>
      <c r="O78" s="11" t="s">
        <v>25</v>
      </c>
      <c r="P78" s="11" t="s">
        <v>40</v>
      </c>
      <c r="Q78" s="11" t="s">
        <v>41</v>
      </c>
      <c r="R78" s="14">
        <v>0.08</v>
      </c>
      <c r="S78" s="11">
        <v>1</v>
      </c>
      <c r="T78" s="15">
        <v>113.9</v>
      </c>
      <c r="U78" s="11" t="s">
        <v>28</v>
      </c>
    </row>
    <row r="79" spans="1:21" ht="21" customHeight="1">
      <c r="A79" s="11">
        <v>78</v>
      </c>
      <c r="B79" s="11" t="s">
        <v>135</v>
      </c>
      <c r="C79" s="9" t="s">
        <v>213</v>
      </c>
      <c r="D79" s="12">
        <v>1982</v>
      </c>
      <c r="E79" s="12">
        <v>43</v>
      </c>
      <c r="F79" s="11" t="s">
        <v>32</v>
      </c>
      <c r="G79" s="11" t="s">
        <v>32</v>
      </c>
      <c r="H79" s="12">
        <v>4217</v>
      </c>
      <c r="I79" s="11" t="s">
        <v>22</v>
      </c>
      <c r="J79" s="11" t="s">
        <v>23</v>
      </c>
      <c r="K79" s="11" t="s">
        <v>23</v>
      </c>
      <c r="L79" s="13">
        <v>45737</v>
      </c>
      <c r="M79" s="13">
        <v>45741</v>
      </c>
      <c r="N79" s="11" t="s">
        <v>24</v>
      </c>
      <c r="O79" s="11" t="s">
        <v>25</v>
      </c>
      <c r="P79" s="11" t="s">
        <v>55</v>
      </c>
      <c r="Q79" s="11" t="s">
        <v>56</v>
      </c>
      <c r="R79" s="14">
        <v>2.883</v>
      </c>
      <c r="S79" s="11">
        <v>1</v>
      </c>
      <c r="T79" s="15">
        <v>124.5</v>
      </c>
      <c r="U79" s="11" t="s">
        <v>28</v>
      </c>
    </row>
    <row r="80" spans="1:21" ht="21" customHeight="1">
      <c r="A80" s="11">
        <v>79</v>
      </c>
      <c r="B80" s="11" t="s">
        <v>135</v>
      </c>
      <c r="C80" s="9" t="s">
        <v>214</v>
      </c>
      <c r="D80" s="12">
        <v>1982</v>
      </c>
      <c r="E80" s="12">
        <v>43</v>
      </c>
      <c r="F80" s="11" t="s">
        <v>32</v>
      </c>
      <c r="G80" s="11" t="s">
        <v>32</v>
      </c>
      <c r="H80" s="12">
        <v>4217</v>
      </c>
      <c r="I80" s="11" t="s">
        <v>22</v>
      </c>
      <c r="J80" s="11" t="s">
        <v>23</v>
      </c>
      <c r="K80" s="11" t="s">
        <v>23</v>
      </c>
      <c r="L80" s="13">
        <v>45737</v>
      </c>
      <c r="M80" s="13">
        <v>45741</v>
      </c>
      <c r="N80" s="11" t="s">
        <v>24</v>
      </c>
      <c r="O80" s="11" t="s">
        <v>25</v>
      </c>
      <c r="P80" s="11" t="s">
        <v>42</v>
      </c>
      <c r="Q80" s="11" t="s">
        <v>43</v>
      </c>
      <c r="R80" s="14">
        <v>1.2E-2</v>
      </c>
      <c r="S80" s="11">
        <v>1</v>
      </c>
      <c r="T80" s="15">
        <v>124.5</v>
      </c>
      <c r="U80" s="11" t="s">
        <v>28</v>
      </c>
    </row>
    <row r="81" spans="1:21" ht="21" customHeight="1">
      <c r="A81" s="11">
        <v>80</v>
      </c>
      <c r="B81" s="11" t="s">
        <v>135</v>
      </c>
      <c r="C81" s="9" t="s">
        <v>215</v>
      </c>
      <c r="D81" s="12">
        <v>1995</v>
      </c>
      <c r="E81" s="12">
        <v>30</v>
      </c>
      <c r="F81" s="11" t="s">
        <v>32</v>
      </c>
      <c r="G81" s="11" t="s">
        <v>32</v>
      </c>
      <c r="H81" s="12">
        <v>4165</v>
      </c>
      <c r="I81" s="11" t="s">
        <v>33</v>
      </c>
      <c r="J81" s="11" t="s">
        <v>23</v>
      </c>
      <c r="K81" s="11" t="s">
        <v>23</v>
      </c>
      <c r="L81" s="13">
        <v>45773</v>
      </c>
      <c r="M81" s="13">
        <v>45779</v>
      </c>
      <c r="N81" s="11" t="s">
        <v>24</v>
      </c>
      <c r="O81" s="11" t="s">
        <v>25</v>
      </c>
      <c r="P81" s="11" t="s">
        <v>52</v>
      </c>
      <c r="Q81" s="11" t="s">
        <v>53</v>
      </c>
      <c r="R81" s="14">
        <v>0.192</v>
      </c>
      <c r="S81" s="11">
        <v>1</v>
      </c>
      <c r="T81" s="15">
        <v>26.1</v>
      </c>
      <c r="U81" s="11" t="s">
        <v>28</v>
      </c>
    </row>
    <row r="82" spans="1:21" ht="21" customHeight="1">
      <c r="A82" s="11">
        <v>81</v>
      </c>
      <c r="B82" s="11" t="s">
        <v>135</v>
      </c>
      <c r="C82" s="9" t="s">
        <v>216</v>
      </c>
      <c r="D82" s="12">
        <v>1987</v>
      </c>
      <c r="E82" s="12">
        <v>38</v>
      </c>
      <c r="F82" s="11" t="s">
        <v>21</v>
      </c>
      <c r="G82" s="11" t="s">
        <v>21</v>
      </c>
      <c r="H82" s="12">
        <v>4017</v>
      </c>
      <c r="I82" s="11" t="s">
        <v>22</v>
      </c>
      <c r="J82" s="11" t="s">
        <v>23</v>
      </c>
      <c r="K82" s="11" t="s">
        <v>23</v>
      </c>
      <c r="L82" s="13">
        <v>45811</v>
      </c>
      <c r="M82" s="13">
        <v>45812</v>
      </c>
      <c r="N82" s="11" t="s">
        <v>24</v>
      </c>
      <c r="O82" s="11" t="s">
        <v>25</v>
      </c>
      <c r="P82" s="11" t="s">
        <v>48</v>
      </c>
      <c r="Q82" s="11" t="s">
        <v>49</v>
      </c>
      <c r="R82" s="14">
        <v>2.5760000000000001</v>
      </c>
      <c r="S82" s="11">
        <v>1</v>
      </c>
      <c r="T82" s="15">
        <v>112.8</v>
      </c>
      <c r="U82" s="11" t="s">
        <v>28</v>
      </c>
    </row>
    <row r="83" spans="1:21" ht="21" customHeight="1">
      <c r="A83" s="11">
        <v>82</v>
      </c>
      <c r="B83" s="11" t="s">
        <v>135</v>
      </c>
      <c r="C83" s="9" t="s">
        <v>217</v>
      </c>
      <c r="D83" s="12">
        <v>1988</v>
      </c>
      <c r="E83" s="12">
        <v>37</v>
      </c>
      <c r="F83" s="11" t="s">
        <v>21</v>
      </c>
      <c r="G83" s="11" t="s">
        <v>21</v>
      </c>
      <c r="H83" s="12">
        <v>4230</v>
      </c>
      <c r="I83" s="11" t="s">
        <v>22</v>
      </c>
      <c r="J83" s="11" t="s">
        <v>23</v>
      </c>
      <c r="K83" s="11" t="s">
        <v>23</v>
      </c>
      <c r="L83" s="13">
        <v>45826</v>
      </c>
      <c r="M83" s="13">
        <v>45830</v>
      </c>
      <c r="N83" s="11" t="s">
        <v>24</v>
      </c>
      <c r="O83" s="11" t="s">
        <v>25</v>
      </c>
      <c r="P83" s="11" t="s">
        <v>34</v>
      </c>
      <c r="Q83" s="11" t="s">
        <v>35</v>
      </c>
      <c r="R83" s="14">
        <v>5.0000000000000001E-3</v>
      </c>
      <c r="S83" s="11">
        <v>1</v>
      </c>
      <c r="T83" s="15">
        <v>39.5</v>
      </c>
      <c r="U83" s="11" t="s">
        <v>28</v>
      </c>
    </row>
    <row r="84" spans="1:21" ht="21" customHeight="1">
      <c r="A84" s="11">
        <v>83</v>
      </c>
      <c r="B84" s="11" t="s">
        <v>135</v>
      </c>
      <c r="C84" s="9" t="s">
        <v>218</v>
      </c>
      <c r="D84" s="12">
        <v>2005</v>
      </c>
      <c r="E84" s="12">
        <v>20</v>
      </c>
      <c r="F84" s="11" t="s">
        <v>32</v>
      </c>
      <c r="G84" s="11" t="s">
        <v>32</v>
      </c>
      <c r="H84" s="12">
        <v>4157</v>
      </c>
      <c r="I84" s="11" t="s">
        <v>22</v>
      </c>
      <c r="J84" s="11" t="s">
        <v>23</v>
      </c>
      <c r="K84" s="11" t="s">
        <v>23</v>
      </c>
      <c r="L84" s="13">
        <v>45834</v>
      </c>
      <c r="M84" s="13">
        <v>45835</v>
      </c>
      <c r="N84" s="11" t="s">
        <v>24</v>
      </c>
      <c r="O84" s="11" t="s">
        <v>25</v>
      </c>
      <c r="P84" s="11" t="s">
        <v>36</v>
      </c>
      <c r="Q84" s="11" t="s">
        <v>37</v>
      </c>
      <c r="R84" s="14">
        <v>4.4999999999999998E-2</v>
      </c>
      <c r="S84" s="11">
        <v>1</v>
      </c>
      <c r="T84" s="15">
        <v>176</v>
      </c>
      <c r="U84" s="11" t="s">
        <v>28</v>
      </c>
    </row>
    <row r="85" spans="1:21" ht="21" customHeight="1">
      <c r="A85" s="11">
        <v>84</v>
      </c>
      <c r="B85" s="11" t="s">
        <v>135</v>
      </c>
      <c r="C85" s="9" t="s">
        <v>219</v>
      </c>
      <c r="D85" s="12">
        <v>2005</v>
      </c>
      <c r="E85" s="12">
        <v>20</v>
      </c>
      <c r="F85" s="11" t="s">
        <v>32</v>
      </c>
      <c r="G85" s="11" t="s">
        <v>32</v>
      </c>
      <c r="H85" s="12">
        <v>4157</v>
      </c>
      <c r="I85" s="11" t="s">
        <v>22</v>
      </c>
      <c r="J85" s="11" t="s">
        <v>23</v>
      </c>
      <c r="K85" s="11" t="s">
        <v>23</v>
      </c>
      <c r="L85" s="13">
        <v>45834</v>
      </c>
      <c r="M85" s="13">
        <v>45835</v>
      </c>
      <c r="N85" s="11" t="s">
        <v>24</v>
      </c>
      <c r="O85" s="11" t="s">
        <v>25</v>
      </c>
      <c r="P85" s="11" t="s">
        <v>30</v>
      </c>
      <c r="Q85" s="11" t="s">
        <v>31</v>
      </c>
      <c r="R85" s="14">
        <v>3.6999999999999998E-2</v>
      </c>
      <c r="S85" s="11">
        <v>1</v>
      </c>
      <c r="T85" s="15">
        <v>176</v>
      </c>
      <c r="U85" s="11" t="s">
        <v>28</v>
      </c>
    </row>
    <row r="86" spans="1:21" ht="21" customHeight="1">
      <c r="A86" s="11">
        <v>85</v>
      </c>
      <c r="B86" s="11" t="s">
        <v>135</v>
      </c>
      <c r="C86" s="9" t="s">
        <v>220</v>
      </c>
      <c r="D86" s="12">
        <v>2004</v>
      </c>
      <c r="E86" s="12">
        <v>21</v>
      </c>
      <c r="F86" s="11" t="s">
        <v>21</v>
      </c>
      <c r="G86" s="11" t="s">
        <v>21</v>
      </c>
      <c r="H86" s="12">
        <v>4380</v>
      </c>
      <c r="I86" s="11" t="s">
        <v>22</v>
      </c>
      <c r="J86" s="11" t="s">
        <v>23</v>
      </c>
      <c r="K86" s="11" t="s">
        <v>23</v>
      </c>
      <c r="L86" s="13">
        <v>45896</v>
      </c>
      <c r="M86" s="13">
        <v>45900</v>
      </c>
      <c r="N86" s="11" t="s">
        <v>24</v>
      </c>
      <c r="O86" s="11" t="s">
        <v>25</v>
      </c>
      <c r="P86" s="11" t="s">
        <v>34</v>
      </c>
      <c r="Q86" s="11" t="s">
        <v>35</v>
      </c>
      <c r="R86" s="14">
        <v>1.2E-2</v>
      </c>
      <c r="S86" s="11">
        <v>1</v>
      </c>
      <c r="T86" s="15">
        <v>480.6</v>
      </c>
      <c r="U86" s="11" t="s">
        <v>28</v>
      </c>
    </row>
    <row r="87" spans="1:21" ht="21" customHeight="1">
      <c r="A87" s="11">
        <v>86</v>
      </c>
      <c r="B87" s="11" t="s">
        <v>135</v>
      </c>
      <c r="C87" s="9" t="s">
        <v>221</v>
      </c>
      <c r="D87" s="12">
        <v>2001</v>
      </c>
      <c r="E87" s="12">
        <v>24</v>
      </c>
      <c r="F87" s="11" t="s">
        <v>32</v>
      </c>
      <c r="G87" s="11" t="s">
        <v>32</v>
      </c>
      <c r="H87" s="12">
        <v>4165</v>
      </c>
      <c r="I87" s="11" t="s">
        <v>22</v>
      </c>
      <c r="J87" s="11" t="s">
        <v>23</v>
      </c>
      <c r="K87" s="11" t="s">
        <v>23</v>
      </c>
      <c r="L87" s="13">
        <v>45905</v>
      </c>
      <c r="M87" s="13">
        <v>45911</v>
      </c>
      <c r="N87" s="11" t="s">
        <v>24</v>
      </c>
      <c r="O87" s="11" t="s">
        <v>25</v>
      </c>
      <c r="P87" s="11" t="s">
        <v>55</v>
      </c>
      <c r="Q87" s="11" t="s">
        <v>56</v>
      </c>
      <c r="R87" s="14">
        <v>3.2000000000000001E-2</v>
      </c>
      <c r="S87" s="11">
        <v>1</v>
      </c>
      <c r="T87" s="15">
        <v>108.1</v>
      </c>
      <c r="U87" s="11" t="s">
        <v>28</v>
      </c>
    </row>
    <row r="88" spans="1:21" ht="21" customHeight="1">
      <c r="A88" s="11">
        <v>87</v>
      </c>
      <c r="B88" s="11" t="s">
        <v>135</v>
      </c>
      <c r="C88" s="9" t="s">
        <v>222</v>
      </c>
      <c r="D88" s="12">
        <v>2001</v>
      </c>
      <c r="E88" s="12">
        <v>24</v>
      </c>
      <c r="F88" s="11" t="s">
        <v>32</v>
      </c>
      <c r="G88" s="11" t="s">
        <v>32</v>
      </c>
      <c r="H88" s="12">
        <v>4165</v>
      </c>
      <c r="I88" s="11" t="s">
        <v>22</v>
      </c>
      <c r="J88" s="11" t="s">
        <v>23</v>
      </c>
      <c r="K88" s="11" t="s">
        <v>23</v>
      </c>
      <c r="L88" s="13">
        <v>45905</v>
      </c>
      <c r="M88" s="13">
        <v>45911</v>
      </c>
      <c r="N88" s="11" t="s">
        <v>24</v>
      </c>
      <c r="O88" s="11" t="s">
        <v>25</v>
      </c>
      <c r="P88" s="11" t="s">
        <v>44</v>
      </c>
      <c r="Q88" s="11" t="s">
        <v>45</v>
      </c>
      <c r="R88" s="14">
        <v>6.7000000000000004E-2</v>
      </c>
      <c r="S88" s="11">
        <v>1</v>
      </c>
      <c r="T88" s="15">
        <v>108.1</v>
      </c>
      <c r="U88" s="11" t="s">
        <v>28</v>
      </c>
    </row>
    <row r="89" spans="1:21" ht="21" customHeight="1">
      <c r="A89" s="11">
        <v>88</v>
      </c>
      <c r="B89" s="11" t="s">
        <v>135</v>
      </c>
      <c r="C89" s="9" t="s">
        <v>223</v>
      </c>
      <c r="D89" s="12">
        <v>1973</v>
      </c>
      <c r="E89" s="12">
        <v>52</v>
      </c>
      <c r="F89" s="11" t="s">
        <v>21</v>
      </c>
      <c r="G89" s="11" t="s">
        <v>21</v>
      </c>
      <c r="H89" s="12">
        <v>4165</v>
      </c>
      <c r="I89" s="11" t="s">
        <v>22</v>
      </c>
      <c r="J89" s="11" t="s">
        <v>23</v>
      </c>
      <c r="K89" s="11" t="s">
        <v>23</v>
      </c>
      <c r="L89" s="13">
        <v>45908</v>
      </c>
      <c r="M89" s="13">
        <v>45913</v>
      </c>
      <c r="N89" s="11" t="s">
        <v>24</v>
      </c>
      <c r="O89" s="11" t="s">
        <v>25</v>
      </c>
      <c r="P89" s="11" t="s">
        <v>50</v>
      </c>
      <c r="Q89" s="11" t="s">
        <v>51</v>
      </c>
      <c r="R89" s="14">
        <v>1.679</v>
      </c>
      <c r="S89" s="11">
        <v>1</v>
      </c>
      <c r="T89" s="15">
        <v>100.4</v>
      </c>
      <c r="U89" s="11" t="s">
        <v>28</v>
      </c>
    </row>
    <row r="90" spans="1:21" ht="21" customHeight="1">
      <c r="A90" s="11">
        <v>89</v>
      </c>
      <c r="B90" s="11" t="s">
        <v>135</v>
      </c>
      <c r="C90" s="9" t="s">
        <v>224</v>
      </c>
      <c r="D90" s="12">
        <v>1973</v>
      </c>
      <c r="E90" s="12">
        <v>52</v>
      </c>
      <c r="F90" s="11" t="s">
        <v>21</v>
      </c>
      <c r="G90" s="11" t="s">
        <v>21</v>
      </c>
      <c r="H90" s="12">
        <v>4165</v>
      </c>
      <c r="I90" s="11" t="s">
        <v>22</v>
      </c>
      <c r="J90" s="11" t="s">
        <v>23</v>
      </c>
      <c r="K90" s="11" t="s">
        <v>23</v>
      </c>
      <c r="L90" s="13">
        <v>45908</v>
      </c>
      <c r="M90" s="13">
        <v>45913</v>
      </c>
      <c r="N90" s="11" t="s">
        <v>24</v>
      </c>
      <c r="O90" s="11" t="s">
        <v>25</v>
      </c>
      <c r="P90" s="11" t="s">
        <v>30</v>
      </c>
      <c r="Q90" s="11" t="s">
        <v>31</v>
      </c>
      <c r="R90" s="14">
        <v>0.23599999999999999</v>
      </c>
      <c r="S90" s="11">
        <v>1</v>
      </c>
      <c r="T90" s="15">
        <v>100.4</v>
      </c>
      <c r="U90" s="11" t="s">
        <v>28</v>
      </c>
    </row>
    <row r="91" spans="1:21" ht="21" customHeight="1">
      <c r="A91" s="11">
        <v>90</v>
      </c>
      <c r="B91" s="11" t="s">
        <v>135</v>
      </c>
      <c r="C91" s="9" t="s">
        <v>225</v>
      </c>
      <c r="D91" s="12">
        <v>1993</v>
      </c>
      <c r="E91" s="12">
        <v>32</v>
      </c>
      <c r="F91" s="11" t="s">
        <v>32</v>
      </c>
      <c r="G91" s="11" t="s">
        <v>32</v>
      </c>
      <c r="H91" s="12">
        <v>4127</v>
      </c>
      <c r="I91" s="11" t="s">
        <v>22</v>
      </c>
      <c r="J91" s="11" t="s">
        <v>23</v>
      </c>
      <c r="K91" s="11" t="s">
        <v>23</v>
      </c>
      <c r="L91" s="13">
        <v>45929</v>
      </c>
      <c r="M91" s="13">
        <v>45931</v>
      </c>
      <c r="N91" s="11" t="s">
        <v>24</v>
      </c>
      <c r="O91" s="11" t="s">
        <v>25</v>
      </c>
      <c r="P91" s="11" t="s">
        <v>38</v>
      </c>
      <c r="Q91" s="11" t="s">
        <v>39</v>
      </c>
      <c r="R91" s="14">
        <v>0.35</v>
      </c>
      <c r="S91" s="11">
        <v>1</v>
      </c>
      <c r="T91" s="15">
        <v>81.8</v>
      </c>
      <c r="U91" s="11" t="s">
        <v>28</v>
      </c>
    </row>
    <row r="92" spans="1:21" ht="21" customHeight="1">
      <c r="A92" s="11">
        <v>91</v>
      </c>
      <c r="B92" s="11" t="s">
        <v>135</v>
      </c>
      <c r="C92" s="9" t="s">
        <v>226</v>
      </c>
      <c r="D92" s="12">
        <v>1976</v>
      </c>
      <c r="E92" s="12">
        <v>49</v>
      </c>
      <c r="F92" s="11" t="s">
        <v>21</v>
      </c>
      <c r="G92" s="11" t="s">
        <v>21</v>
      </c>
      <c r="H92" s="12">
        <v>4152</v>
      </c>
      <c r="I92" s="11" t="s">
        <v>58</v>
      </c>
      <c r="J92" s="11" t="s">
        <v>23</v>
      </c>
      <c r="K92" s="11" t="s">
        <v>23</v>
      </c>
      <c r="L92" s="13">
        <v>45937</v>
      </c>
      <c r="M92" s="13">
        <v>45942</v>
      </c>
      <c r="N92" s="11" t="s">
        <v>24</v>
      </c>
      <c r="O92" s="11" t="s">
        <v>25</v>
      </c>
      <c r="P92" s="11" t="s">
        <v>30</v>
      </c>
      <c r="Q92" s="11" t="s">
        <v>31</v>
      </c>
      <c r="R92" s="14">
        <v>3.6999999999999998E-2</v>
      </c>
      <c r="S92" s="11">
        <v>1</v>
      </c>
      <c r="T92" s="15">
        <v>77.3</v>
      </c>
      <c r="U92" s="11" t="s">
        <v>28</v>
      </c>
    </row>
    <row r="93" spans="1:21" ht="21" customHeight="1">
      <c r="A93" s="11">
        <v>92</v>
      </c>
      <c r="B93" s="11" t="s">
        <v>135</v>
      </c>
      <c r="C93" s="9" t="s">
        <v>227</v>
      </c>
      <c r="D93" s="12">
        <v>1958</v>
      </c>
      <c r="E93" s="12">
        <v>67</v>
      </c>
      <c r="F93" s="11" t="s">
        <v>21</v>
      </c>
      <c r="G93" s="11" t="s">
        <v>21</v>
      </c>
      <c r="H93" s="12">
        <v>4503</v>
      </c>
      <c r="I93" s="11" t="s">
        <v>33</v>
      </c>
      <c r="J93" s="11" t="s">
        <v>23</v>
      </c>
      <c r="K93" s="11" t="s">
        <v>23</v>
      </c>
      <c r="L93" s="13">
        <v>45966</v>
      </c>
      <c r="M93" s="13">
        <v>45967</v>
      </c>
      <c r="N93" s="11" t="s">
        <v>24</v>
      </c>
      <c r="O93" s="11" t="s">
        <v>25</v>
      </c>
      <c r="P93" s="11" t="s">
        <v>36</v>
      </c>
      <c r="Q93" s="11" t="s">
        <v>37</v>
      </c>
      <c r="R93" s="14">
        <v>1.7999999999999999E-2</v>
      </c>
      <c r="S93" s="11">
        <v>1</v>
      </c>
      <c r="T93" s="15">
        <v>446.3</v>
      </c>
      <c r="U93" s="11" t="s">
        <v>28</v>
      </c>
    </row>
    <row r="94" spans="1:21" ht="21" customHeight="1">
      <c r="A94" s="11">
        <v>93</v>
      </c>
      <c r="B94" s="11" t="s">
        <v>135</v>
      </c>
      <c r="C94" s="9" t="s">
        <v>228</v>
      </c>
      <c r="D94" s="12">
        <v>2010</v>
      </c>
      <c r="E94" s="12">
        <v>15</v>
      </c>
      <c r="F94" s="11" t="s">
        <v>32</v>
      </c>
      <c r="G94" s="11" t="s">
        <v>32</v>
      </c>
      <c r="H94" s="12">
        <v>4116</v>
      </c>
      <c r="I94" s="11" t="s">
        <v>22</v>
      </c>
      <c r="J94" s="11" t="s">
        <v>23</v>
      </c>
      <c r="K94" s="11" t="s">
        <v>23</v>
      </c>
      <c r="L94" s="13">
        <v>45980</v>
      </c>
      <c r="M94" s="13">
        <v>45980</v>
      </c>
      <c r="N94" s="11" t="s">
        <v>24</v>
      </c>
      <c r="O94" s="11" t="s">
        <v>25</v>
      </c>
      <c r="P94" s="11" t="s">
        <v>34</v>
      </c>
      <c r="Q94" s="11" t="s">
        <v>35</v>
      </c>
      <c r="R94" s="14">
        <v>0.04</v>
      </c>
      <c r="S94" s="11">
        <v>1</v>
      </c>
      <c r="T94" s="15">
        <v>121.1</v>
      </c>
      <c r="U94" s="11" t="s">
        <v>28</v>
      </c>
    </row>
    <row r="95" spans="1:21" ht="21" customHeight="1">
      <c r="A95" s="11">
        <v>94</v>
      </c>
      <c r="B95" s="11" t="s">
        <v>135</v>
      </c>
      <c r="C95" s="9" t="s">
        <v>229</v>
      </c>
      <c r="D95" s="12">
        <v>2010</v>
      </c>
      <c r="E95" s="12">
        <v>15</v>
      </c>
      <c r="F95" s="11" t="s">
        <v>32</v>
      </c>
      <c r="G95" s="11" t="s">
        <v>32</v>
      </c>
      <c r="H95" s="12">
        <v>4116</v>
      </c>
      <c r="I95" s="11" t="s">
        <v>22</v>
      </c>
      <c r="J95" s="11" t="s">
        <v>23</v>
      </c>
      <c r="K95" s="11" t="s">
        <v>23</v>
      </c>
      <c r="L95" s="13">
        <v>45980</v>
      </c>
      <c r="M95" s="13">
        <v>45980</v>
      </c>
      <c r="N95" s="11" t="s">
        <v>24</v>
      </c>
      <c r="O95" s="11" t="s">
        <v>25</v>
      </c>
      <c r="P95" s="11" t="s">
        <v>30</v>
      </c>
      <c r="Q95" s="11" t="s">
        <v>31</v>
      </c>
      <c r="R95" s="14">
        <v>0.35</v>
      </c>
      <c r="S95" s="11">
        <v>1</v>
      </c>
      <c r="T95" s="15">
        <v>121.1</v>
      </c>
      <c r="U95" s="11" t="s">
        <v>28</v>
      </c>
    </row>
    <row r="96" spans="1:21" ht="21" customHeight="1">
      <c r="A96" s="11">
        <v>95</v>
      </c>
      <c r="B96" s="11" t="s">
        <v>135</v>
      </c>
      <c r="C96" s="9" t="s">
        <v>230</v>
      </c>
      <c r="D96" s="12">
        <v>1981</v>
      </c>
      <c r="E96" s="12">
        <v>44</v>
      </c>
      <c r="F96" s="11" t="s">
        <v>32</v>
      </c>
      <c r="G96" s="11" t="s">
        <v>32</v>
      </c>
      <c r="H96" s="12">
        <v>4164</v>
      </c>
      <c r="I96" s="11" t="s">
        <v>22</v>
      </c>
      <c r="J96" s="11" t="s">
        <v>23</v>
      </c>
      <c r="K96" s="11" t="s">
        <v>23</v>
      </c>
      <c r="L96" s="13">
        <v>45983</v>
      </c>
      <c r="M96" s="13">
        <v>45985</v>
      </c>
      <c r="N96" s="11" t="s">
        <v>24</v>
      </c>
      <c r="O96" s="11" t="s">
        <v>25</v>
      </c>
      <c r="P96" s="11" t="s">
        <v>46</v>
      </c>
      <c r="Q96" s="11" t="s">
        <v>47</v>
      </c>
      <c r="R96" s="14">
        <v>0.02</v>
      </c>
      <c r="S96" s="11">
        <v>1</v>
      </c>
      <c r="T96" s="15">
        <v>141.9</v>
      </c>
      <c r="U96" s="11" t="s">
        <v>28</v>
      </c>
    </row>
    <row r="97" spans="1:21" ht="21" customHeight="1">
      <c r="A97" s="11">
        <v>96</v>
      </c>
      <c r="B97" s="11" t="s">
        <v>135</v>
      </c>
      <c r="C97" s="9" t="s">
        <v>231</v>
      </c>
      <c r="D97" s="12">
        <v>2013</v>
      </c>
      <c r="E97" s="12">
        <v>12</v>
      </c>
      <c r="F97" s="11" t="s">
        <v>21</v>
      </c>
      <c r="G97" s="11" t="s">
        <v>21</v>
      </c>
      <c r="H97" s="12">
        <v>4870</v>
      </c>
      <c r="I97" s="11" t="s">
        <v>22</v>
      </c>
      <c r="J97" s="11" t="s">
        <v>23</v>
      </c>
      <c r="K97" s="11" t="s">
        <v>23</v>
      </c>
      <c r="L97" s="13">
        <v>45993</v>
      </c>
      <c r="M97" s="13">
        <v>45993</v>
      </c>
      <c r="N97" s="11" t="s">
        <v>24</v>
      </c>
      <c r="O97" s="11" t="s">
        <v>25</v>
      </c>
      <c r="P97" s="11" t="s">
        <v>26</v>
      </c>
      <c r="Q97" s="11" t="s">
        <v>27</v>
      </c>
      <c r="R97" s="14">
        <v>4.9870000000000001</v>
      </c>
      <c r="S97" s="11">
        <v>1</v>
      </c>
      <c r="T97" s="15">
        <v>147.5</v>
      </c>
      <c r="U97" s="11" t="s">
        <v>28</v>
      </c>
    </row>
    <row r="98" spans="1:21" ht="21" customHeight="1">
      <c r="A98" s="11">
        <v>97</v>
      </c>
      <c r="B98" s="11" t="s">
        <v>135</v>
      </c>
      <c r="C98" s="9" t="s">
        <v>232</v>
      </c>
      <c r="D98" s="12">
        <v>1948</v>
      </c>
      <c r="E98" s="12">
        <v>77</v>
      </c>
      <c r="F98" s="11" t="s">
        <v>32</v>
      </c>
      <c r="G98" s="11" t="s">
        <v>32</v>
      </c>
      <c r="H98" s="12">
        <v>4017</v>
      </c>
      <c r="I98" s="11" t="s">
        <v>22</v>
      </c>
      <c r="J98" s="11" t="s">
        <v>23</v>
      </c>
      <c r="K98" s="11" t="s">
        <v>23</v>
      </c>
      <c r="L98" s="13">
        <v>45994</v>
      </c>
      <c r="M98" s="13">
        <v>45998</v>
      </c>
      <c r="N98" s="11" t="s">
        <v>24</v>
      </c>
      <c r="O98" s="11" t="s">
        <v>25</v>
      </c>
      <c r="P98" s="11" t="s">
        <v>40</v>
      </c>
      <c r="Q98" s="11" t="s">
        <v>41</v>
      </c>
      <c r="R98" s="14">
        <v>4.9909999999999997</v>
      </c>
      <c r="S98" s="11">
        <v>1</v>
      </c>
      <c r="T98" s="15">
        <v>501.1</v>
      </c>
      <c r="U98" s="11" t="s">
        <v>28</v>
      </c>
    </row>
    <row r="99" spans="1:21" ht="21" customHeight="1">
      <c r="A99" s="11">
        <v>98</v>
      </c>
      <c r="B99" s="11" t="s">
        <v>135</v>
      </c>
      <c r="C99" s="9" t="s">
        <v>233</v>
      </c>
      <c r="D99" s="12">
        <v>2007</v>
      </c>
      <c r="E99" s="12">
        <v>18</v>
      </c>
      <c r="F99" s="11" t="s">
        <v>21</v>
      </c>
      <c r="G99" s="11" t="s">
        <v>21</v>
      </c>
      <c r="H99" s="12">
        <v>4151</v>
      </c>
      <c r="I99" s="11" t="s">
        <v>22</v>
      </c>
      <c r="J99" s="11" t="s">
        <v>23</v>
      </c>
      <c r="K99" s="11" t="s">
        <v>23</v>
      </c>
      <c r="L99" s="13">
        <v>45998</v>
      </c>
      <c r="M99" s="13">
        <v>46001</v>
      </c>
      <c r="N99" s="11" t="s">
        <v>24</v>
      </c>
      <c r="O99" s="11" t="s">
        <v>25</v>
      </c>
      <c r="P99" s="11" t="s">
        <v>34</v>
      </c>
      <c r="Q99" s="11" t="s">
        <v>35</v>
      </c>
      <c r="R99" s="14">
        <v>0.13100000000000001</v>
      </c>
      <c r="S99" s="11">
        <v>1</v>
      </c>
      <c r="T99" s="15">
        <v>45.4</v>
      </c>
      <c r="U99" s="11" t="s">
        <v>28</v>
      </c>
    </row>
    <row r="100" spans="1:21" ht="21" customHeight="1">
      <c r="A100" s="11">
        <v>99</v>
      </c>
      <c r="B100" s="11" t="s">
        <v>135</v>
      </c>
      <c r="C100" s="9" t="s">
        <v>234</v>
      </c>
      <c r="D100" s="12">
        <v>2007</v>
      </c>
      <c r="E100" s="12">
        <v>18</v>
      </c>
      <c r="F100" s="11" t="s">
        <v>21</v>
      </c>
      <c r="G100" s="11" t="s">
        <v>21</v>
      </c>
      <c r="H100" s="12">
        <v>4151</v>
      </c>
      <c r="I100" s="11" t="s">
        <v>22</v>
      </c>
      <c r="J100" s="11" t="s">
        <v>23</v>
      </c>
      <c r="K100" s="11" t="s">
        <v>23</v>
      </c>
      <c r="L100" s="13">
        <v>45998</v>
      </c>
      <c r="M100" s="13">
        <v>46001</v>
      </c>
      <c r="N100" s="11" t="s">
        <v>24</v>
      </c>
      <c r="O100" s="11" t="s">
        <v>25</v>
      </c>
      <c r="P100" s="11" t="s">
        <v>26</v>
      </c>
      <c r="Q100" s="11" t="s">
        <v>27</v>
      </c>
      <c r="R100" s="14">
        <v>0.30599999999999999</v>
      </c>
      <c r="S100" s="11">
        <v>1</v>
      </c>
      <c r="T100" s="15">
        <v>45.4</v>
      </c>
      <c r="U100" s="11" t="s">
        <v>28</v>
      </c>
    </row>
    <row r="101" spans="1:21" ht="21" customHeight="1">
      <c r="A101" s="11">
        <v>100</v>
      </c>
      <c r="B101" s="11" t="s">
        <v>135</v>
      </c>
      <c r="C101" s="9" t="s">
        <v>235</v>
      </c>
      <c r="D101" s="12">
        <v>1956</v>
      </c>
      <c r="E101" s="12">
        <v>69</v>
      </c>
      <c r="F101" s="11" t="s">
        <v>32</v>
      </c>
      <c r="G101" s="11" t="s">
        <v>32</v>
      </c>
      <c r="H101" s="12">
        <v>4700</v>
      </c>
      <c r="I101" s="11" t="s">
        <v>22</v>
      </c>
      <c r="J101" s="11" t="s">
        <v>23</v>
      </c>
      <c r="K101" s="11" t="s">
        <v>23</v>
      </c>
      <c r="L101" s="13">
        <v>46006</v>
      </c>
      <c r="M101" s="13">
        <v>46008</v>
      </c>
      <c r="N101" s="11" t="s">
        <v>24</v>
      </c>
      <c r="O101" s="11" t="s">
        <v>25</v>
      </c>
      <c r="P101" s="11" t="s">
        <v>50</v>
      </c>
      <c r="Q101" s="11" t="s">
        <v>51</v>
      </c>
      <c r="R101" s="14">
        <v>2.1000000000000001E-2</v>
      </c>
      <c r="S101" s="11">
        <v>1</v>
      </c>
      <c r="T101" s="15">
        <v>60.2</v>
      </c>
      <c r="U101" s="11" t="s">
        <v>28</v>
      </c>
    </row>
  </sheetData>
  <conditionalFormatting sqref="R2:R101">
    <cfRule type="dataBar" priority="1">
      <dataBar>
        <cfvo type="min"/>
        <cfvo type="max"/>
        <color rgb="FF6B9BAA"/>
      </dataBar>
    </cfRule>
    <cfRule type="dataBar" priority="2">
      <dataBar>
        <cfvo type="min"/>
        <cfvo type="max"/>
        <color rgb="FF6B9BAA"/>
      </dataBar>
      <extLst>
        <ext xmlns:x14="http://schemas.microsoft.com/office/spreadsheetml/2009/9/main" uri="{B025F937-C7B1-47D3-B67F-A62EFF666E3E}">
          <x14:id>{66E94DFC-132B-93AD-1017-85330D940C76}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94DFC-132B-93AD-1017-85330D940C76}">
            <x14:dataBar>
              <x14:cfvo type="min"/>
              <x14:cfvo type="max"/>
              <x14:negativeFillColor auto="1"/>
              <x14:axisColor auto="1"/>
            </x14:dataBar>
          </x14:cfRule>
          <xm:sqref>R2:R101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pane ySplit="3" topLeftCell="A4" activePane="bottomLeft" state="frozen"/>
      <selection pane="bottomLeft"/>
    </sheetView>
  </sheetViews>
  <sheetFormatPr defaultRowHeight="14"/>
  <cols>
    <col min="1" max="1" width="39" customWidth="1"/>
    <col min="2" max="2" width="20" customWidth="1"/>
    <col min="3" max="7" width="21" customWidth="1"/>
  </cols>
  <sheetData>
    <row r="1" spans="1:7" ht="38" customHeight="1">
      <c r="A1" s="6" t="s">
        <v>61</v>
      </c>
      <c r="B1" s="6"/>
      <c r="C1" s="6"/>
      <c r="D1" s="6"/>
      <c r="E1" s="6"/>
      <c r="F1" s="6"/>
      <c r="G1" s="6"/>
    </row>
    <row r="2" spans="1:7" ht="28" customHeight="1">
      <c r="A2" s="7" t="s">
        <v>62</v>
      </c>
      <c r="B2" s="7"/>
      <c r="C2" s="7"/>
      <c r="D2" s="7"/>
      <c r="E2" s="7"/>
      <c r="F2" s="7"/>
      <c r="G2" s="7"/>
    </row>
    <row r="4" spans="1:7">
      <c r="A4" s="1" t="s">
        <v>63</v>
      </c>
      <c r="B4" s="1" t="s">
        <v>64</v>
      </c>
    </row>
    <row r="5" spans="1:7">
      <c r="A5" t="s">
        <v>65</v>
      </c>
      <c r="B5">
        <f>COUNTA('Synthetic Data'!A2:A101)</f>
        <v>100</v>
      </c>
    </row>
    <row r="6" spans="1:7">
      <c r="A6" t="s">
        <v>66</v>
      </c>
      <c r="B6">
        <v>90</v>
      </c>
    </row>
    <row r="7" spans="1:7">
      <c r="A7" t="s">
        <v>67</v>
      </c>
      <c r="B7">
        <f>COUNTIF('Synthetic Data'!F2:F101,"Female")</f>
        <v>60</v>
      </c>
    </row>
    <row r="8" spans="1:7">
      <c r="A8" t="s">
        <v>68</v>
      </c>
      <c r="B8">
        <f>COUNTIF('Synthetic Data'!F2:F101,"Male")</f>
        <v>40</v>
      </c>
    </row>
    <row r="9" spans="1:7">
      <c r="A9" t="s">
        <v>69</v>
      </c>
      <c r="B9">
        <f>MEDIAN('Synthetic Data'!E2:E101)</f>
        <v>43</v>
      </c>
    </row>
    <row r="10" spans="1:7">
      <c r="A10" t="s">
        <v>70</v>
      </c>
      <c r="B10">
        <v>23</v>
      </c>
    </row>
    <row r="11" spans="1:7">
      <c r="A11" t="s">
        <v>71</v>
      </c>
      <c r="B11">
        <v>60</v>
      </c>
    </row>
    <row r="12" spans="1:7">
      <c r="A12" t="s">
        <v>72</v>
      </c>
      <c r="B12">
        <f>MIN('Synthetic Data'!E2:E101)</f>
        <v>12</v>
      </c>
    </row>
    <row r="13" spans="1:7">
      <c r="A13" t="s">
        <v>73</v>
      </c>
      <c r="B13">
        <f>MEDIAN('Synthetic Data'!T2:T101)</f>
        <v>86</v>
      </c>
    </row>
    <row r="14" spans="1:7">
      <c r="A14" t="s">
        <v>74</v>
      </c>
      <c r="B14">
        <f>MIN('Synthetic Data'!T2:T101)</f>
        <v>1</v>
      </c>
    </row>
    <row r="15" spans="1:7">
      <c r="A15" t="s">
        <v>75</v>
      </c>
      <c r="B15">
        <f>MAX('Synthetic Data'!T2:T101)</f>
        <v>5500</v>
      </c>
    </row>
    <row r="16" spans="1:7">
      <c r="A16" t="s">
        <v>76</v>
      </c>
      <c r="B16">
        <f>COUNTIF('Synthetic Data'!I2:I101,"1-GP")</f>
        <v>77</v>
      </c>
    </row>
    <row r="17" spans="1:7">
      <c r="A17" t="s">
        <v>77</v>
      </c>
      <c r="B17">
        <v>83</v>
      </c>
    </row>
    <row r="19" spans="1:7" ht="42" customHeight="1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83</v>
      </c>
      <c r="G19" s="2" t="s">
        <v>84</v>
      </c>
    </row>
    <row r="20" spans="1:7">
      <c r="A20" t="s">
        <v>85</v>
      </c>
      <c r="B20">
        <v>26</v>
      </c>
      <c r="C20">
        <v>12</v>
      </c>
      <c r="D20" s="3">
        <v>46.2</v>
      </c>
      <c r="E20" s="4">
        <v>6.7</v>
      </c>
      <c r="F20" s="4">
        <v>14.430999999999999</v>
      </c>
      <c r="G20" s="4">
        <v>6.7</v>
      </c>
    </row>
    <row r="21" spans="1:7">
      <c r="A21" t="s">
        <v>86</v>
      </c>
      <c r="B21">
        <v>28</v>
      </c>
      <c r="C21">
        <v>9</v>
      </c>
      <c r="D21" s="3">
        <v>32.1</v>
      </c>
      <c r="E21" s="4">
        <v>2.5</v>
      </c>
      <c r="F21" s="4">
        <v>7.6710000000000003</v>
      </c>
      <c r="G21" s="4">
        <v>2.5</v>
      </c>
    </row>
    <row r="22" spans="1:7">
      <c r="A22" t="s">
        <v>87</v>
      </c>
      <c r="B22">
        <v>10</v>
      </c>
      <c r="C22">
        <v>2</v>
      </c>
      <c r="D22" s="3">
        <v>20</v>
      </c>
      <c r="E22" s="4">
        <v>0.5</v>
      </c>
      <c r="F22" s="4">
        <v>2.1269999999999998</v>
      </c>
      <c r="G22" s="4">
        <v>0.5</v>
      </c>
    </row>
    <row r="23" spans="1:7">
      <c r="A23" t="s">
        <v>31</v>
      </c>
      <c r="B23">
        <v>12</v>
      </c>
      <c r="C23">
        <v>3</v>
      </c>
      <c r="D23" s="3">
        <v>25</v>
      </c>
      <c r="E23" s="4">
        <v>1.2</v>
      </c>
      <c r="F23" s="4">
        <v>4.4489999999999998</v>
      </c>
      <c r="G23" s="4">
        <v>1.2</v>
      </c>
    </row>
    <row r="24" spans="1:7">
      <c r="A24" t="s">
        <v>88</v>
      </c>
      <c r="B24">
        <v>14</v>
      </c>
      <c r="C24">
        <v>2</v>
      </c>
      <c r="D24" s="3">
        <v>14.3</v>
      </c>
      <c r="E24" s="4">
        <v>0.55000000000000004</v>
      </c>
      <c r="F24" s="4">
        <v>3.3319999999999999</v>
      </c>
      <c r="G24" s="4">
        <v>0.55000000000000004</v>
      </c>
    </row>
    <row r="25" spans="1:7">
      <c r="A25" t="s">
        <v>89</v>
      </c>
      <c r="B25">
        <v>10</v>
      </c>
      <c r="C25">
        <v>2</v>
      </c>
      <c r="D25" s="3">
        <v>20</v>
      </c>
      <c r="E25" s="4">
        <v>0.7</v>
      </c>
      <c r="F25" s="4">
        <v>2.87</v>
      </c>
      <c r="G25" s="4">
        <v>0.7</v>
      </c>
    </row>
    <row r="28" spans="1:7" ht="25" customHeight="1">
      <c r="A28" s="8" t="s">
        <v>90</v>
      </c>
      <c r="B28" s="8"/>
      <c r="C28" s="8"/>
      <c r="D28" s="8"/>
      <c r="E28" s="8"/>
      <c r="F28" s="8"/>
      <c r="G28" s="8"/>
    </row>
    <row r="29" spans="1:7" ht="25" customHeight="1">
      <c r="A29" s="8" t="s">
        <v>91</v>
      </c>
      <c r="B29" s="8"/>
      <c r="C29" s="8"/>
      <c r="D29" s="8"/>
      <c r="E29" s="8"/>
      <c r="F29" s="8"/>
      <c r="G29" s="8"/>
    </row>
    <row r="30" spans="1:7" ht="25" customHeight="1">
      <c r="A30" s="8" t="s">
        <v>92</v>
      </c>
      <c r="B30" s="8"/>
      <c r="C30" s="8"/>
      <c r="D30" s="8"/>
      <c r="E30" s="8"/>
      <c r="F30" s="8"/>
      <c r="G30" s="8"/>
    </row>
  </sheetData>
  <mergeCells count="5">
    <mergeCell ref="A1:G1"/>
    <mergeCell ref="A2:G2"/>
    <mergeCell ref="A28:G28"/>
    <mergeCell ref="A29:G29"/>
    <mergeCell ref="A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pane ySplit="3" topLeftCell="A4" activePane="bottomLeft" state="frozen"/>
      <selection pane="bottomLeft"/>
    </sheetView>
  </sheetViews>
  <sheetFormatPr defaultRowHeight="14"/>
  <cols>
    <col min="1" max="1" width="27" customWidth="1"/>
    <col min="2" max="2" width="90" customWidth="1"/>
    <col min="3" max="3" width="22" customWidth="1"/>
    <col min="4" max="4" width="72" customWidth="1"/>
  </cols>
  <sheetData>
    <row r="1" spans="1:4" ht="36" customHeight="1">
      <c r="A1" s="6" t="s">
        <v>93</v>
      </c>
      <c r="B1" s="6"/>
      <c r="C1" s="6"/>
      <c r="D1" s="6"/>
    </row>
    <row r="3" spans="1:4">
      <c r="A3" s="1" t="s">
        <v>94</v>
      </c>
      <c r="B3" s="1" t="s">
        <v>95</v>
      </c>
    </row>
    <row r="4" spans="1:4" ht="36" customHeight="1">
      <c r="A4" t="s">
        <v>96</v>
      </c>
      <c r="B4" s="5" t="s">
        <v>97</v>
      </c>
    </row>
    <row r="5" spans="1:4" ht="36" customHeight="1">
      <c r="A5" t="s">
        <v>98</v>
      </c>
      <c r="B5" s="5" t="s">
        <v>99</v>
      </c>
    </row>
    <row r="6" spans="1:4" ht="36" customHeight="1">
      <c r="A6" t="s">
        <v>100</v>
      </c>
      <c r="B6" s="5" t="s">
        <v>101</v>
      </c>
    </row>
    <row r="7" spans="1:4" ht="36" customHeight="1">
      <c r="A7" t="s">
        <v>102</v>
      </c>
      <c r="B7" s="5" t="s">
        <v>103</v>
      </c>
    </row>
    <row r="8" spans="1:4" ht="36" customHeight="1">
      <c r="A8" t="s">
        <v>104</v>
      </c>
      <c r="B8" s="5" t="s">
        <v>105</v>
      </c>
    </row>
    <row r="9" spans="1:4" ht="36" customHeight="1">
      <c r="A9" t="s">
        <v>106</v>
      </c>
      <c r="B9" s="5" t="s">
        <v>107</v>
      </c>
    </row>
    <row r="10" spans="1:4" ht="36" customHeight="1">
      <c r="A10" t="s">
        <v>108</v>
      </c>
      <c r="B10" s="5" t="s">
        <v>109</v>
      </c>
    </row>
    <row r="11" spans="1:4" ht="36" customHeight="1">
      <c r="A11" t="s">
        <v>110</v>
      </c>
      <c r="B11" s="5" t="s">
        <v>111</v>
      </c>
    </row>
    <row r="12" spans="1:4" ht="36" customHeight="1">
      <c r="A12" t="s">
        <v>112</v>
      </c>
      <c r="B12" s="5" t="s">
        <v>113</v>
      </c>
    </row>
    <row r="13" spans="1:4" ht="36" customHeight="1">
      <c r="A13" t="s">
        <v>7</v>
      </c>
      <c r="B13" s="5" t="s">
        <v>114</v>
      </c>
    </row>
    <row r="14" spans="1:4" ht="36" customHeight="1">
      <c r="A14" t="s">
        <v>115</v>
      </c>
      <c r="B14" s="5" t="s">
        <v>116</v>
      </c>
    </row>
    <row r="15" spans="1:4" ht="36" customHeight="1">
      <c r="A15" t="s">
        <v>117</v>
      </c>
      <c r="B15" s="5" t="s">
        <v>118</v>
      </c>
    </row>
    <row r="16" spans="1:4" ht="36" customHeight="1">
      <c r="A16" t="s">
        <v>119</v>
      </c>
      <c r="B16" s="5" t="s">
        <v>120</v>
      </c>
    </row>
    <row r="17" spans="1:4" ht="36" customHeight="1">
      <c r="A17" t="s">
        <v>121</v>
      </c>
      <c r="B17" s="5" t="s">
        <v>122</v>
      </c>
    </row>
    <row r="18" spans="1:4" ht="36" customHeight="1">
      <c r="A18" t="s">
        <v>123</v>
      </c>
      <c r="B18" s="5" t="s">
        <v>124</v>
      </c>
    </row>
    <row r="19" spans="1:4" ht="36" customHeight="1">
      <c r="A19" t="s">
        <v>125</v>
      </c>
      <c r="B19" s="5" t="s">
        <v>126</v>
      </c>
    </row>
    <row r="20" spans="1:4" ht="36" customHeight="1">
      <c r="A20" t="s">
        <v>127</v>
      </c>
      <c r="B20" s="5" t="s">
        <v>128</v>
      </c>
    </row>
    <row r="23" spans="1:4">
      <c r="A23" s="1" t="s">
        <v>78</v>
      </c>
      <c r="B23" s="1" t="s">
        <v>129</v>
      </c>
      <c r="C23" s="1" t="s">
        <v>130</v>
      </c>
      <c r="D23" s="1" t="s">
        <v>131</v>
      </c>
    </row>
    <row r="24" spans="1:4" ht="22" customHeight="1">
      <c r="A24" t="s">
        <v>85</v>
      </c>
      <c r="B24" t="s">
        <v>35</v>
      </c>
      <c r="C24" t="s">
        <v>34</v>
      </c>
      <c r="D24" t="s">
        <v>132</v>
      </c>
    </row>
    <row r="25" spans="1:4" ht="22" customHeight="1">
      <c r="A25" t="s">
        <v>85</v>
      </c>
      <c r="B25" t="s">
        <v>41</v>
      </c>
      <c r="C25" t="s">
        <v>40</v>
      </c>
      <c r="D25" t="s">
        <v>132</v>
      </c>
    </row>
    <row r="26" spans="1:4" ht="22" customHeight="1">
      <c r="A26" t="s">
        <v>86</v>
      </c>
      <c r="B26" t="s">
        <v>56</v>
      </c>
      <c r="C26" t="s">
        <v>55</v>
      </c>
      <c r="D26" t="s">
        <v>133</v>
      </c>
    </row>
    <row r="27" spans="1:4" ht="22" customHeight="1">
      <c r="A27" t="s">
        <v>86</v>
      </c>
      <c r="B27" t="s">
        <v>43</v>
      </c>
      <c r="C27" t="s">
        <v>42</v>
      </c>
      <c r="D27" t="s">
        <v>133</v>
      </c>
    </row>
    <row r="28" spans="1:4" ht="22" customHeight="1">
      <c r="A28" t="s">
        <v>86</v>
      </c>
      <c r="B28" t="s">
        <v>47</v>
      </c>
      <c r="C28" t="s">
        <v>46</v>
      </c>
      <c r="D28" t="s">
        <v>133</v>
      </c>
    </row>
    <row r="29" spans="1:4" ht="22" customHeight="1">
      <c r="A29" t="s">
        <v>86</v>
      </c>
      <c r="B29" t="s">
        <v>37</v>
      </c>
      <c r="C29" t="s">
        <v>36</v>
      </c>
      <c r="D29" t="s">
        <v>133</v>
      </c>
    </row>
    <row r="30" spans="1:4" ht="22" customHeight="1">
      <c r="A30" t="s">
        <v>87</v>
      </c>
      <c r="B30" t="s">
        <v>51</v>
      </c>
      <c r="C30" t="s">
        <v>50</v>
      </c>
      <c r="D30" t="s">
        <v>132</v>
      </c>
    </row>
    <row r="31" spans="1:4" ht="22" customHeight="1">
      <c r="A31" t="s">
        <v>87</v>
      </c>
      <c r="B31" t="s">
        <v>49</v>
      </c>
      <c r="C31" t="s">
        <v>48</v>
      </c>
      <c r="D31" t="s">
        <v>132</v>
      </c>
    </row>
    <row r="32" spans="1:4" ht="22" customHeight="1">
      <c r="A32" t="s">
        <v>31</v>
      </c>
      <c r="B32" t="s">
        <v>31</v>
      </c>
      <c r="C32" t="s">
        <v>30</v>
      </c>
      <c r="D32" t="s">
        <v>134</v>
      </c>
    </row>
    <row r="33" spans="1:4" ht="22" customHeight="1">
      <c r="A33" t="s">
        <v>88</v>
      </c>
      <c r="B33" t="s">
        <v>45</v>
      </c>
      <c r="C33" t="s">
        <v>44</v>
      </c>
      <c r="D33" t="s">
        <v>132</v>
      </c>
    </row>
    <row r="34" spans="1:4" ht="22" customHeight="1">
      <c r="A34" t="s">
        <v>88</v>
      </c>
      <c r="B34" t="s">
        <v>53</v>
      </c>
      <c r="C34" t="s">
        <v>52</v>
      </c>
      <c r="D34" t="s">
        <v>132</v>
      </c>
    </row>
    <row r="35" spans="1:4" ht="22" customHeight="1">
      <c r="A35" t="s">
        <v>89</v>
      </c>
      <c r="B35" t="s">
        <v>39</v>
      </c>
      <c r="C35" t="s">
        <v>38</v>
      </c>
      <c r="D35" t="s">
        <v>132</v>
      </c>
    </row>
    <row r="36" spans="1:4" ht="22" customHeight="1">
      <c r="A36" t="s">
        <v>89</v>
      </c>
      <c r="B36" t="s">
        <v>27</v>
      </c>
      <c r="C36" t="s">
        <v>26</v>
      </c>
      <c r="D36" t="s">
        <v>132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Synthetic Data</vt:lpstr>
      <vt:lpstr>QC Summary</vt:lpstr>
      <vt:lpstr>Dictionary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Chamani</dc:creator>
  <cp:lastModifiedBy>Sajjad Chamani</cp:lastModifiedBy>
  <dcterms:created xsi:type="dcterms:W3CDTF">2026-10-23T01:33:33Z</dcterms:created>
  <dcterms:modified xsi:type="dcterms:W3CDTF">2026-10-23T01:33:33Z</dcterms:modified>
</cp:coreProperties>
</file>